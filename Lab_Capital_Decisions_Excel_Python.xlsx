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WACC" sheetId="3" state="visible" r:id="rId5"/>
    <sheet name="Scenario1" sheetId="4" state="visible" r:id="rId6"/>
    <sheet name="NPV_Profile" sheetId="5" state="visible" r:id="rId7"/>
    <sheet name="Scenario2" sheetId="6" state="visible" r:id="rId8"/>
    <sheet name="Portfolio" sheetId="7" state="visible" r:id="rId9"/>
    <sheet name="Python Steps" sheetId="8" state="visible" r:id="rId10"/>
    <sheet name="Python Lab" sheetId="9" state="visible" r:id="rId11"/>
    <sheet name="Python Char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Savings from lower labor, less reagent waste, and tests no longer sent out. Illustrative.</t>
        </r>
      </text>
    </comment>
    <comment ref="C7" authorId="0">
      <text>
        <r>
          <rPr>
            <sz val="10"/>
            <rFont val="Arial"/>
            <family val="2"/>
          </rPr>
          <t xml:space="preserve">Use 0% for a nonprofit hospital lab (no tax shield on debt).</t>
        </r>
      </text>
    </comment>
    <comment ref="C43" authorId="0">
      <text>
        <r>
          <rPr>
            <sz val="10"/>
            <rFont val="Arial"/>
            <family val="2"/>
          </rPr>
          <t xml:space="preserve">Each year's cash is drawn from a normal distribution with this standard deviation around the Inputs!C6 value. Useful life is 4, 5 or 6 years (25%/50%/25%).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Enter the Step 1 code here (see Python Steps).</t>
        </r>
      </text>
    </comment>
    <comment ref="B8" authorId="0">
      <text>
        <r>
          <rPr>
            <sz val="10"/>
            <rFont val="Arial"/>
            <family val="2"/>
          </rPr>
          <t xml:space="preserve">Enter the Step 2 code here (see Python Steps).</t>
        </r>
      </text>
    </comment>
    <comment ref="B15" authorId="0">
      <text>
        <r>
          <rPr>
            <sz val="10"/>
            <rFont val="Arial"/>
            <family val="2"/>
          </rPr>
          <t xml:space="preserve">Enter the Step 3 code here (see Python Steps).</t>
        </r>
      </text>
    </comment>
    <comment ref="B22" authorId="0">
      <text>
        <r>
          <rPr>
            <sz val="10"/>
            <rFont val="Arial"/>
            <family val="2"/>
          </rPr>
          <t xml:space="preserve">Enter the Step 4 code here (see Python Steps).</t>
        </r>
      </text>
    </comment>
  </commentList>
</comments>
</file>

<file path=xl/sharedStrings.xml><?xml version="1.0" encoding="utf-8"?>
<sst xmlns="http://schemas.openxmlformats.org/spreadsheetml/2006/main" count="475" uniqueCount="411">
  <si>
    <t xml:space="preserve">The ROI Trap: Lab Capital Equipment Decisions in Excel + Python</t>
  </si>
  <si>
    <t xml:space="preserve">Companion workbook to the video and notebook by Dr. Owasu Brown · all figures are illustrative</t>
  </si>
  <si>
    <t xml:space="preserve">What this workbook shows</t>
  </si>
  <si>
    <t xml:space="preserve">Part 1 (native Excel)</t>
  </si>
  <si>
    <t xml:space="preserve">Every metric is built with ordinary Excel formulas you can inspect: WACC, ROI, payback, IRR, NPV. Change any yellow cell on the Inputs sheet and everything updates.</t>
  </si>
  <si>
    <t xml:space="preserve">Part 2 (Python in Excel)</t>
  </si>
  <si>
    <t xml:space="preserve">Ten short Python cells add what plain Excel does poorly: an NPV profile, a sensitivity heatmap, a budget optimizer that tests all 4,096 project combinations, k-means clustering, and a 10,000-run Monte Carlo risk model.</t>
  </si>
  <si>
    <t xml:space="preserve">Sheet guide</t>
  </si>
  <si>
    <t xml:space="preserve">Inputs</t>
  </si>
  <si>
    <t xml:space="preserve">The only sheet you need to edit. Yellow cells with blue text are inputs.</t>
  </si>
  <si>
    <t xml:space="preserve">WACC</t>
  </si>
  <si>
    <t xml:space="preserve">Builds each lab's weighted average cost of capital from its capital structure.</t>
  </si>
  <si>
    <t xml:space="preserve">Scenario1</t>
  </si>
  <si>
    <t xml:space="preserve">Same $1M analyzer, three labs: ROI, payback, IRR, NPV, discounted payback, and charts.</t>
  </si>
  <si>
    <t xml:space="preserve">NPV_Profile</t>
  </si>
  <si>
    <t xml:space="preserve">NPV at every discount rate from 0% to 25%, plus a what-if heatmap (WACC x annual savings).</t>
  </si>
  <si>
    <t xml:space="preserve">Scenario2</t>
  </si>
  <si>
    <t xml:space="preserve">The scale trap: a $100K project vs. a $1 project. Three of four metrics pick the wrong one.</t>
  </si>
  <si>
    <t xml:space="preserve">Portfolio</t>
  </si>
  <si>
    <t xml:space="preserve">Twelve lab equipment requests and a $2.0M budget. Toggle the Fund? column to build your own portfolio.</t>
  </si>
  <si>
    <t xml:space="preserve">Python Steps</t>
  </si>
  <si>
    <t xml:space="preserve">Step-by-step instructions and the code for each Python cell, one line per row.</t>
  </si>
  <si>
    <t xml:space="preserve">Python Lab</t>
  </si>
  <si>
    <t xml:space="preserve">Where the Python TABLE results go (green cells).</t>
  </si>
  <si>
    <t xml:space="preserve">Python Charts</t>
  </si>
  <si>
    <t xml:space="preserve">Where the Python CHART results go (green cells, sized for pictures).</t>
  </si>
  <si>
    <t xml:space="preserve">Color legend</t>
  </si>
  <si>
    <t xml:space="preserve">Yellow fill, blue text</t>
  </si>
  <si>
    <t xml:space="preserve">Input: type your own number here.</t>
  </si>
  <si>
    <t xml:space="preserve">Black text</t>
  </si>
  <si>
    <t xml:space="preserve">Formula: do not overwrite.</t>
  </si>
  <si>
    <t xml:space="preserve">Green fill</t>
  </si>
  <si>
    <t xml:space="preserve">Python target cell: enter a =PY() formula here (see Python Steps).</t>
  </si>
  <si>
    <t xml:space="preserve">Before you start with Python in Excel</t>
  </si>
  <si>
    <t xml:space="preserve">Requirement</t>
  </si>
  <si>
    <t xml:space="preserve">Microsoft 365 with Python in Excel enabled (Excel for Windows, Mac, or the web). Python runs in Microsoft's cloud, so you need an internet connection. Nothing to install.</t>
  </si>
  <si>
    <t xml:space="preserve">Check it's available</t>
  </si>
  <si>
    <t xml:space="preserve">Go to the Formulas tab. If you see Insert Python, you're ready. You can also type =PY( into any cell.</t>
  </si>
  <si>
    <t xml:space="preserve">Calculation order</t>
  </si>
  <si>
    <t xml:space="preserve">Python cells run left to right, top to bottom, sheet by sheet. That's why the helper functions (Step 1) go in the first green cell: later steps reuse them.</t>
  </si>
  <si>
    <t xml:space="preserve">How to enter each Python step (repeat for Steps 1-10)</t>
  </si>
  <si>
    <t xml:space="preserve">1. Go to the target cell</t>
  </si>
  <si>
    <t xml:space="preserve">Each step names its target, e.g. 'Python Lab'!B4. Click that green cell.</t>
  </si>
  <si>
    <t xml:space="preserve">2. Start a Python cell</t>
  </si>
  <si>
    <t xml:space="preserve">Type =PY( and press Tab, or use Formulas &gt; Insert Python. The cell turns into a Python editor (a green PY badge appears).</t>
  </si>
  <si>
    <t xml:space="preserve">3. Copy the code</t>
  </si>
  <si>
    <t xml:space="preserve">On Python Steps, select that step's gray code rows in column B (click the first, Shift+click the last) and press Ctrl+C (Cmd+C on Mac).</t>
  </si>
  <si>
    <t xml:space="preserve">4. Paste and run</t>
  </si>
  <si>
    <t xml:space="preserve">Click back into the Python cell, paste with Ctrl+V, then press Ctrl+Enter to run it.</t>
  </si>
  <si>
    <t xml:space="preserve">5. Show the result</t>
  </si>
  <si>
    <t xml:space="preserve">Tables: set the output to Excel Value (the output dropdown next to the formula bar, or Ctrl+Alt+Shift+M) so the table spills into the sheet. Charts: also choose Excel Value to place the picture in the cell.</t>
  </si>
  <si>
    <t xml:space="preserve">If you see #SPILL!</t>
  </si>
  <si>
    <t xml:space="preserve">Something is in the way of the table. Clear the cells below/right of the green cell.</t>
  </si>
  <si>
    <t xml:space="preserve">If you see #PYTHON!</t>
  </si>
  <si>
    <t xml:space="preserve">Click the cell and open the Diagnostics pane for the error. Most often a line was missed when copying, or an earlier step hasn't been entered yet.</t>
  </si>
  <si>
    <t xml:space="preserve">Suggested teaching flow</t>
  </si>
  <si>
    <t xml:space="preserve">Live demo order</t>
  </si>
  <si>
    <t xml:space="preserve">Inputs &gt; WACC &gt; Scenario1 &gt; NPV_Profile &gt; Scenario2 &gt; Portfolio (all plain Excel), then Python Steps 1-10 to show what Python adds. Change Company C's cost of equity on Inputs and watch both the Excel and Python results update.</t>
  </si>
  <si>
    <t xml:space="preserve">Edit only the yellow cells. Every other sheet, and every Python step, reads from here.</t>
  </si>
  <si>
    <t xml:space="preserve">Scenario 1: automated lab analyzer</t>
  </si>
  <si>
    <t xml:space="preserve">Purchase price (Year 0)</t>
  </si>
  <si>
    <t xml:space="preserve">Illustrative figures for teaching (not a real quote).</t>
  </si>
  <si>
    <t xml:space="preserve">Annual net cash, Years 1-5</t>
  </si>
  <si>
    <t xml:space="preserve">Corporate tax rate</t>
  </si>
  <si>
    <t xml:space="preserve">Capital structure by lab</t>
  </si>
  <si>
    <t xml:space="preserve">Company</t>
  </si>
  <si>
    <t xml:space="preserve">Lab profile</t>
  </si>
  <si>
    <t xml:space="preserve">Equity share</t>
  </si>
  <si>
    <t xml:space="preserve">Cost of equity</t>
  </si>
  <si>
    <t xml:space="preserve">Cost of debt</t>
  </si>
  <si>
    <t xml:space="preserve">Company A</t>
  </si>
  <si>
    <t xml:space="preserve">Large pharma QC lab</t>
  </si>
  <si>
    <t xml:space="preserve">Equity share = E/V. Debt share is 1 minus this.</t>
  </si>
  <si>
    <t xml:space="preserve">Company B</t>
  </si>
  <si>
    <t xml:space="preserve">Mid-sized contract research lab</t>
  </si>
  <si>
    <t xml:space="preserve">Cost of debt is the pre-tax interest rate.</t>
  </si>
  <si>
    <t xml:space="preserve">Company C</t>
  </si>
  <si>
    <t xml:space="preserve">Venture-backed biotech startup</t>
  </si>
  <si>
    <t xml:space="preserve">Scenario 2: the scale trap</t>
  </si>
  <si>
    <t xml:space="preserve">Project A outlay (assay automation)</t>
  </si>
  <si>
    <t xml:space="preserve">Project A annual cash, Years 1-10</t>
  </si>
  <si>
    <t xml:space="preserve">Project B outlay (micro-fix)</t>
  </si>
  <si>
    <t xml:space="preserve">Project B annual cash, Years 1-10</t>
  </si>
  <si>
    <t xml:space="preserve">Portfolio: twelve capital requests</t>
  </si>
  <si>
    <t xml:space="preserve">Lab WACC</t>
  </si>
  <si>
    <t xml:space="preserve">Capital budget</t>
  </si>
  <si>
    <t xml:space="preserve">Request</t>
  </si>
  <si>
    <t xml:space="preserve">Outlay</t>
  </si>
  <si>
    <t xml:space="preserve">Annual cash</t>
  </si>
  <si>
    <t xml:space="preserve">Life (yrs)</t>
  </si>
  <si>
    <t xml:space="preserve">Automated chemistry analyzer</t>
  </si>
  <si>
    <t xml:space="preserve">Annual cash is level each year for the life shown. Illustrative figures.</t>
  </si>
  <si>
    <t xml:space="preserve">Liquid-handling robot</t>
  </si>
  <si>
    <t xml:space="preserve">LIMS upgrade</t>
  </si>
  <si>
    <t xml:space="preserve">LC-MS/MS system</t>
  </si>
  <si>
    <t xml:space="preserve">Digital pathology scanner</t>
  </si>
  <si>
    <t xml:space="preserve">Barcode label printers</t>
  </si>
  <si>
    <t xml:space="preserve">Pipette calibration kit</t>
  </si>
  <si>
    <t xml:space="preserve">-80°C freezer replacement</t>
  </si>
  <si>
    <t xml:space="preserve">Automated sample storage</t>
  </si>
  <si>
    <t xml:space="preserve">Next-gen sequencer</t>
  </si>
  <si>
    <t xml:space="preserve">Lab HVAC / fume hood upgrade</t>
  </si>
  <si>
    <t xml:space="preserve">Benchtop qPCR</t>
  </si>
  <si>
    <t xml:space="preserve">Monte Carlo (Python Step 10)</t>
  </si>
  <si>
    <t xml:space="preserve">Number of simulations</t>
  </si>
  <si>
    <t xml:space="preserve">Annual cash volatility (std. dev.)</t>
  </si>
  <si>
    <t xml:space="preserve">Step 1: What does money cost each lab? (WACC)</t>
  </si>
  <si>
    <t xml:space="preserve">WACC = E/V x Cost of equity + D/V x Cost of debt x (1 - tax rate)</t>
  </si>
  <si>
    <t xml:space="preserve">E/V</t>
  </si>
  <si>
    <t xml:space="preserve">D/V</t>
  </si>
  <si>
    <t xml:space="preserve">Tax rate</t>
  </si>
  <si>
    <t xml:space="preserve">Equity piece</t>
  </si>
  <si>
    <t xml:space="preserve">Debt piece (after tax)</t>
  </si>
  <si>
    <t xml:space="preserve">Worked example (Company A): 50% x 7.0% + 50% x 4.0% x (1 - 25%) = 3.5% + 1.5% = 5.0%</t>
  </si>
  <si>
    <t xml:space="preserve">Healthcare note: a nonprofit hospital lab pays no income tax, so set the tax rate to 0% on Inputs.</t>
  </si>
  <si>
    <t xml:space="preserve">Scenario 1: Same $1M analyzer, three labs</t>
  </si>
  <si>
    <t xml:space="preserve">ROI, payback and IRR ignore who is buying. NPV discounts at each lab's own WACC.</t>
  </si>
  <si>
    <t xml:space="preserve">Cash flows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</si>
  <si>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</si>
  <si>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</si>
  <si>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</si>
  <si>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</si>
  <si>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</si>
  <si>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</si>
  <si>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</si>
  <si>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Cash flow (nominal)</t>
  </si>
  <si>
    <t xml:space="preserve">Tip: overwrite any single year to model an uneven ramp-up.</t>
  </si>
  <si>
    <t xml:space="preserve">Cumulative (nominal)</t>
  </si>
  <si>
    <t xml:space="preserve">Present value of each year at each lab's WACC  =  Cash flow / (1 + WACC)^year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</si>
  <si>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</si>
  <si>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</si>
  <si>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</si>
  <si>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</si>
  <si>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</si>
  <si>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</si>
  <si>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Cumulative present value (where it turns positive = discounted payback)</t>
  </si>
  <si>
    <t xml:space="preserve">Scorecard</t>
  </si>
  <si>
    <t xml:space="preserve">Simple ROI</t>
  </si>
  <si>
    <t xml:space="preserve">Payback (yrs)</t>
  </si>
  <si>
    <t xml:space="preserve">Disc. payback (yrs)</t>
  </si>
  <si>
    <t xml:space="preserve">IRR</t>
  </si>
  <si>
    <t xml:space="preserve">NPV</t>
  </si>
  <si>
    <t xml:space="preserve">Profitability index</t>
  </si>
  <si>
    <t xml:space="preserve">Decision</t>
  </si>
  <si>
    <t xml:space="preserve">Column Simple ROI: ROI = (total inflows - outlay) / outlay. No timing, no WACC.</t>
  </si>
  <si>
    <t xml:space="preserve">Column Payback (yrs): Payback = years before the running total turns positive + the fraction of the next year needed.</t>
  </si>
  <si>
    <t xml:space="preserve">Column Disc. payback (yrs): Same as payback, but on the present values. 'Never' = the lab never earns its money back in today's dollars.</t>
  </si>
  <si>
    <t xml:space="preserve">Column NPV: Excel's NPV() assumes the FIRST value is one year out, so Year 0 is added separately. Including Year 0 inside NPV() is a common mistake.</t>
  </si>
  <si>
    <t xml:space="preserve">Column IRR: IRR is a property of the project, so it's the same for every lab.</t>
  </si>
  <si>
    <t xml:space="preserve">NPV profile and what-if heatmap</t>
  </si>
  <si>
    <t xml:space="preserve">Where the curve crosses zero is the IRR. Labs to the left create value; to the right they destroy it.</t>
  </si>
  <si>
    <t xml:space="preserve">Discount rate</t>
  </si>
  <si>
    <t xml:space="preserve">Analyzer NPV</t>
  </si>
  <si>
    <t xml:space="preserve">What-if heatmap: analyzer NPV for each WACC (across) and annual net cash (down)</t>
  </si>
  <si>
    <t xml:space="preserve">Formula in each cell: =-PV(WACC, 5, annual cash) - purchase price   (PV of a level 5-year stream minus the outlay)</t>
  </si>
  <si>
    <t xml:space="preserve">Annual cash \ WACC</t>
  </si>
  <si>
    <t xml:space="preserve">Blue = buy (NPV &gt; 0). Red = don't (NPV &lt; 0). Find your own WACC column to see how much savings you need to break even.</t>
  </si>
  <si>
    <t xml:space="preserve">Scenario 2: The scale trap</t>
  </si>
  <si>
    <t xml:space="preserve">One lab, 10% WACC, room for only ONE project. Three of four metrics pick the wrong one.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</si>
  <si>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</si>
  <si>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</si>
  <si>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</si>
  <si>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</si>
  <si>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</si>
  <si>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Project A: assay automation</t>
  </si>
  <si>
    <t xml:space="preserve">Project B: micro-fix</t>
  </si>
  <si>
    <t xml:space="preserve">Metric</t>
  </si>
  <si>
    <t xml:space="preserve">Project A</t>
  </si>
  <si>
    <t xml:space="preserve">Project B</t>
  </si>
  <si>
    <t xml:space="preserve">Metric picks</t>
  </si>
  <si>
    <t xml:space="preserve">NPV at WACC</t>
  </si>
  <si>
    <t xml:space="preserve">Value difference (A - B)</t>
  </si>
  <si>
    <t xml:space="preserve">Payback here = outlay / annual cash, which works because each project's cash is level every year.</t>
  </si>
  <si>
    <t xml:space="preserve">Percentages don't pay the bills. Dollars do: only NPV is measured in dollars.</t>
  </si>
  <si>
    <t xml:space="preserve">Portfolio: twelve equipment requests, one $2.0M budget</t>
  </si>
  <si>
    <t xml:space="preserve">Toggle the Fund? column (1 = fund, 0 = don't) and watch total value change. Level annual cash for each request's life.</t>
  </si>
  <si>
    <t xml:space="preserve">Rank by ROI</t>
  </si>
  <si>
    <t xml:space="preserve">Rank by NPV</t>
  </si>
  <si>
    <t xml:space="preserve">Fund? (1/0)</t>
  </si>
  <si>
    <t xml:space="preserve">ROI-rule picks</t>
  </si>
  <si>
    <t xml:space="preserve">NPV-best picks</t>
  </si>
  <si>
    <t xml:space="preserve">Portfolio totals</t>
  </si>
  <si>
    <t xml:space="preserve">Your picks</t>
  </si>
  <si>
    <t xml:space="preserve">ROI rule</t>
  </si>
  <si>
    <t xml:space="preserve">NPV best</t>
  </si>
  <si>
    <t xml:space="preserve">Capital spent</t>
  </si>
  <si>
    <t xml:space="preserve">Total NPV (value created)</t>
  </si>
  <si>
    <t xml:space="preserve">Budget remaining</t>
  </si>
  <si>
    <t xml:space="preserve">Status</t>
  </si>
  <si>
    <t xml:space="preserve">How to use: the Fund? column starts with the ROI rule's picks (fund the highest-ROI requests until the money runs out).</t>
  </si>
  <si>
    <t xml:space="preserve">Try the NPV-best set (column N) or your own mix and compare Total NPV. The NPV-best set is the highest-value combination of all 4,096 possibilities, found by Python Step 4 and the notebook.</t>
  </si>
  <si>
    <t xml:space="preserve">Why ROI misleads here: the storage and HVAC requests add up 15-20 years of cash without discounting, so their ROI looks great while their NPV is thin or negative.</t>
  </si>
  <si>
    <t xml:space="preserve">IRR uses RATE() because each request has level annual cash; NPV uses PV() for the same reason.</t>
  </si>
  <si>
    <t xml:space="preserve">Python in Excel: step-by-step code</t>
  </si>
  <si>
    <t xml:space="preserve">For each step: click the target cell, type =PY( , paste the gray code rows, press Ctrl+Enter. Full instructions are on Start Here.</t>
  </si>
  <si>
    <t xml:space="preserve">Step 1: Load libraries and define the helper functions</t>
  </si>
  <si>
    <t xml:space="preserve">Target cell: 'Python Lab'!B4     Output: Text: Helpers ready</t>
  </si>
  <si>
    <t xml:space="preserve">What it does: Defines npv(), irr() and payback() once so every later step can reuse them. Python in Excel doesn't include numpy-financial, so we write these ourselves in a few lines.</t>
  </si>
  <si>
    <t xml:space="preserve">Code (select every gray row below, copy, paste into the Python cell):</t>
  </si>
  <si>
    <t xml:space="preserve">import numpy as np</t>
  </si>
  <si>
    <t xml:space="preserve">import pandas as pd</t>
  </si>
  <si>
    <t xml:space="preserve">import matplotlib.pyplot as plt</t>
  </si>
  <si>
    <t xml:space="preserve"># NPV: discount each cash flow back to today (flows[0] is Year 0)</t>
  </si>
  <si>
    <t xml:space="preserve">def npv(rate, flows):</t>
  </si>
  <si>
    <t xml:space="preserve">    t = np.arange(len(flows))</t>
  </si>
  <si>
    <t xml:space="preserve">    return float(np.sum(np.array(flows) / (1 + rate) ** t))</t>
  </si>
  <si>
    <t xml:space="preserve"># IRR: find the rate where NPV = 0 by repeatedly halving the search range</t>
  </si>
  <si>
    <t xml:space="preserve">def irr(flows, lo=-0.99, hi=10.0):</t>
  </si>
  <si>
    <t xml:space="preserve">    for _ in range(200):</t>
  </si>
  <si>
    <t xml:space="preserve">        mid = (lo + hi) / 2</t>
  </si>
  <si>
    <t xml:space="preserve">        if npv(mid, flows) &gt; 0:</t>
  </si>
  <si>
    <t xml:space="preserve">            lo = mid</t>
  </si>
  <si>
    <t xml:space="preserve">        else:</t>
  </si>
  <si>
    <t xml:space="preserve">            hi = mid</t>
  </si>
  <si>
    <t xml:space="preserve">    return mid</t>
  </si>
  <si>
    <t xml:space="preserve"># Payback in years; pass a rate to get the DISCOUNTED payback</t>
  </si>
  <si>
    <t xml:space="preserve">def payback(flows, rate=None):</t>
  </si>
  <si>
    <t xml:space="preserve">    f = np.array(flows, dtype=float)</t>
  </si>
  <si>
    <t xml:space="preserve">    if rate is not None:</t>
  </si>
  <si>
    <t xml:space="preserve">        f = f / (1 + rate) ** np.arange(len(f))</t>
  </si>
  <si>
    <t xml:space="preserve">    cum = np.cumsum(f)</t>
  </si>
  <si>
    <t xml:space="preserve">    if cum[-1] &lt; 0:</t>
  </si>
  <si>
    <t xml:space="preserve">        return np.nan</t>
  </si>
  <si>
    <t xml:space="preserve">    yr = int(np.argmax(cum &gt;= 0))</t>
  </si>
  <si>
    <t xml:space="preserve">    return yr - 1 + (-cum[yr - 1] / f[yr])</t>
  </si>
  <si>
    <t xml:space="preserve">COLORS = ["#2a78d6", "#eb6834", "#1baf7a"]</t>
  </si>
  <si>
    <t xml:space="preserve">"Helpers ready"</t>
  </si>
  <si>
    <t xml:space="preserve">Step 2: Read the capital-structure table and compute WACC</t>
  </si>
  <si>
    <t xml:space="preserve">Target cell: 'Python Lab'!B8     Output: Excel Value: a 4-row table spills</t>
  </si>
  <si>
    <t xml:space="preserve">What it does: xl() pulls an Excel table straight into a pandas DataFrame. One line of math computes all three WACCs.</t>
  </si>
  <si>
    <t xml:space="preserve">labs = xl("tblLabs[#All]", headers=True)</t>
  </si>
  <si>
    <t xml:space="preserve">tax = xl("Inputs!C7")</t>
  </si>
  <si>
    <t xml:space="preserve">labs["WACC"] = (labs["Equity share"] * labs["Cost of equity"]</t>
  </si>
  <si>
    <t xml:space="preserve">                + (1 - labs["Equity share"]) * labs["Cost of debt"] * (1 - tax))</t>
  </si>
  <si>
    <t xml:space="preserve">labs[["Company", "Lab profile", "WACC"]]</t>
  </si>
  <si>
    <t xml:space="preserve">Step 3: Scenario 1 scorecard for all three labs</t>
  </si>
  <si>
    <t xml:space="preserve">Target cell: 'Python Lab'!B15     Output: Excel Value: a 4-row x 8-column table spills</t>
  </si>
  <si>
    <t xml:space="preserve">What it does: Builds the analyzer's cash flows from Inputs and computes every metric for each lab. It should match the Scenario1 sheet exactly.</t>
  </si>
  <si>
    <t xml:space="preserve">outlay = xl("Inputs!C5")</t>
  </si>
  <si>
    <t xml:space="preserve">annual = xl("Inputs!C6")</t>
  </si>
  <si>
    <t xml:space="preserve">flows = [-outlay] + [annual] * 5</t>
  </si>
  <si>
    <t xml:space="preserve">rows = []</t>
  </si>
  <si>
    <t xml:space="preserve">for _, r in labs.iterrows():</t>
  </si>
  <si>
    <t xml:space="preserve">    w = r["WACC"]</t>
  </si>
  <si>
    <t xml:space="preserve">    v = npv(w, flows)</t>
  </si>
  <si>
    <t xml:space="preserve">    rows.append({"Company": r["Company"], "WACC": round(w, 4),</t>
  </si>
  <si>
    <t xml:space="preserve">                 "ROI": round((sum(flows[1:]) - outlay) / outlay, 4),</t>
  </si>
  <si>
    <t xml:space="preserve">                 "Payback": round(payback(flows), 2),</t>
  </si>
  <si>
    <t xml:space="preserve">                 "Disc. payback": round(payback(flows, w), 2),</t>
  </si>
  <si>
    <t xml:space="preserve">                 "IRR": round(irr(flows), 4),</t>
  </si>
  <si>
    <t xml:space="preserve">                 "NPV": round(v),</t>
  </si>
  <si>
    <t xml:space="preserve">                 "Decision": "Accept" if v &gt; 0 else "Reject"})</t>
  </si>
  <si>
    <t xml:space="preserve">s1 = pd.DataFrame(rows)</t>
  </si>
  <si>
    <t xml:space="preserve">s1</t>
  </si>
  <si>
    <t xml:space="preserve">Step 4: Budget optimizer: which decision rule creates the most value?</t>
  </si>
  <si>
    <t xml:space="preserve">Target cell: 'Python Lab'!B22     Output: Excel Value: a 5-row table spills</t>
  </si>
  <si>
    <t xml:space="preserve">What it does: Funds the $2.0M budget four ways: by ROI rank, payback rank, IRR rank, and the best-NPV combination found by testing all 4,096 combinations. Excel alone can't do that search without Solver.</t>
  </si>
  <si>
    <t xml:space="preserve">import itertools</t>
  </si>
  <si>
    <t xml:space="preserve">req = xl("tblRequests[#All]", headers=True).set_index("Request")</t>
  </si>
  <si>
    <t xml:space="preserve">rate = xl("Inputs!C24")</t>
  </si>
  <si>
    <t xml:space="preserve">budget = xl("Inputs!C25")</t>
  </si>
  <si>
    <t xml:space="preserve">m = pd.DataFrame(index=req.index)</t>
  </si>
  <si>
    <t xml:space="preserve">m["Outlay"] = req["Outlay"].astype(float)</t>
  </si>
  <si>
    <t xml:space="preserve">f = {n: [-r["Outlay"]] + [r["Annual cash"]] * int(r["Life (yrs)"]) for n, r in req.iterrows()}</t>
  </si>
  <si>
    <t xml:space="preserve">m["ROI"] = [(sum(f[n][1:]) + f[n][0]) / -f[n][0] for n in m.index]</t>
  </si>
  <si>
    <t xml:space="preserve">m["Payback"] = req["Outlay"] / req["Annual cash"]</t>
  </si>
  <si>
    <t xml:space="preserve">m["IRR"] = [irr(f[n]) for n in m.index]</t>
  </si>
  <si>
    <t xml:space="preserve">m["NPV"] = [npv(rate, f[n]) for n in m.index]</t>
  </si>
  <si>
    <t xml:space="preserve"># Rank-and-fund: go down the list, fund anything that still fits</t>
  </si>
  <si>
    <t xml:space="preserve">def by_rank(col, ascending):</t>
  </si>
  <si>
    <t xml:space="preserve">    pick, left = [], budget</t>
  </si>
  <si>
    <t xml:space="preserve">    for n, r in m.sort_values(col, ascending=ascending).iterrows():</t>
  </si>
  <si>
    <t xml:space="preserve">        if r["Outlay"] &lt;= left:</t>
  </si>
  <si>
    <t xml:space="preserve">            pick.append(n)</t>
  </si>
  <si>
    <t xml:space="preserve">            left -= r["Outlay"]</t>
  </si>
  <si>
    <t xml:space="preserve">    return pick</t>
  </si>
  <si>
    <t xml:space="preserve"># Best NPV: test every combination that fits the budget</t>
  </si>
  <si>
    <t xml:space="preserve">best, best_set = 0, []</t>
  </si>
  <si>
    <t xml:space="preserve">for k in range(1, len(m) + 1):</t>
  </si>
  <si>
    <t xml:space="preserve">    for combo in itertools.combinations(m.index, k):</t>
  </si>
  <si>
    <t xml:space="preserve">        c = list(combo)</t>
  </si>
  <si>
    <t xml:space="preserve">        if m.loc[c, "Outlay"].sum() &lt;= budget and m.loc[c, "NPV"].sum() &gt; best:</t>
  </si>
  <si>
    <t xml:space="preserve">            best, best_set = m.loc[c, "NPV"].sum(), c</t>
  </si>
  <si>
    <t xml:space="preserve">rules = {"Rank by ROI": by_rank("ROI", False), "Rank by payback": by_rank("Payback", True),</t>
  </si>
  <si>
    <t xml:space="preserve">         "Rank by IRR": by_rank("IRR", False), "Maximize NPV": best_set}</t>
  </si>
  <si>
    <t xml:space="preserve">pd.DataFrame({"Rule": list(rules),</t>
  </si>
  <si>
    <t xml:space="preserve">              "Projects": [len(s) for s in rules.values()],</t>
  </si>
  <si>
    <t xml:space="preserve">              "Capital spent": [m.loc[s, "Outlay"].sum() for s in rules.values()],</t>
  </si>
  <si>
    <t xml:space="preserve">              "Total NPV": [round(m.loc[s, "NPV"].sum()) for s in rules.values()],</t>
  </si>
  <si>
    <t xml:space="preserve">              "Funded": [", ".join(s) for s in rules.values()]})</t>
  </si>
  <si>
    <t xml:space="preserve">Step 5: NPV profile chart</t>
  </si>
  <si>
    <t xml:space="preserve">Target cell: 'Python Charts'!B4     Output: Excel Value: picture in cell</t>
  </si>
  <si>
    <t xml:space="preserve">What it does: Plots the analyzer's NPV at every discount rate and marks each lab. Left of the dashed IRR line creates value; right of it destroys value.</t>
  </si>
  <si>
    <t xml:space="preserve">rates = np.linspace(0, 0.25, 101)</t>
  </si>
  <si>
    <t xml:space="preserve">fig, ax = plt.subplots(figsize=(8, 4.5))</t>
  </si>
  <si>
    <t xml:space="preserve">ax.plot(rates * 100, [npv(r, flows) for r in rates], color="black", lw=2)</t>
  </si>
  <si>
    <t xml:space="preserve">ax.axhline(0, color="black", lw=1)</t>
  </si>
  <si>
    <t xml:space="preserve">ax.axvline(irr(flows) * 100, color="gray", ls="--", label=f"IRR = {irr(flows):.1%}")</t>
  </si>
  <si>
    <t xml:space="preserve">for (_, r), c in zip(labs.iterrows(), COLORS):</t>
  </si>
  <si>
    <t xml:space="preserve">    v = npv(r["WACC"], flows)</t>
  </si>
  <si>
    <t xml:space="preserve">    ax.scatter(r["WACC"] * 100, v, s=90, color=c, zorder=5)</t>
  </si>
  <si>
    <t xml:space="preserve">    ax.annotate(f'{r["Company"]}: {v:+,.0f}', (r["WACC"] * 100, v),</t>
  </si>
  <si>
    <t xml:space="preserve">                xytext=(8, 8), textcoords="offset points")</t>
  </si>
  <si>
    <t xml:space="preserve">ax.set_xlabel("WACC (%)")</t>
  </si>
  <si>
    <t xml:space="preserve">ax.set_ylabel("NPV ($)")</t>
  </si>
  <si>
    <t xml:space="preserve">ax.yaxis.set_major_formatter(lambda v, pos: f"${v:,.0f}")</t>
  </si>
  <si>
    <t xml:space="preserve">ax.set_title("NPV profile: left of the IRR line creates value")</t>
  </si>
  <si>
    <t xml:space="preserve">ax.legend()</t>
  </si>
  <si>
    <t xml:space="preserve">fig</t>
  </si>
  <si>
    <t xml:space="preserve">Step 6: Cumulative discounted cash flow chart</t>
  </si>
  <si>
    <t xml:space="preserve">Target cell: 'Python Charts'!B6     Output: Excel Value: picture in cell</t>
  </si>
  <si>
    <t xml:space="preserve">What it does: One line per lab. Where a line crosses zero is that lab's discounted payback. Company C's line never crosses.</t>
  </si>
  <si>
    <t xml:space="preserve">    pv = np.array(flows) / (1 + r["WACC"]) ** np.arange(6)</t>
  </si>
  <si>
    <t xml:space="preserve">    ax.plot(range(6), np.cumsum(pv), marker="o", color=c, lw=2, label=r["Company"])</t>
  </si>
  <si>
    <t xml:space="preserve">ax.set_xlabel("Year")</t>
  </si>
  <si>
    <t xml:space="preserve">ax.set_ylabel("Cumulative value in today's dollars")</t>
  </si>
  <si>
    <t xml:space="preserve">ax.set_title("Where each line crosses zero = discounted payback")</t>
  </si>
  <si>
    <t xml:space="preserve">Step 7: Sensitivity heatmap</t>
  </si>
  <si>
    <t xml:space="preserve">Target cell: 'Python Charts'!B8     Output: Excel Value: picture in cell</t>
  </si>
  <si>
    <t xml:space="preserve">What it does: NPV for 12 WACCs x 8 savings levels in one picture. Blue = buy, red = don't. The same grid is on NPV_Profile as plain Excel with conditional formatting.</t>
  </si>
  <si>
    <t xml:space="preserve">w_grid = np.arange(0.02, 0.245, 0.02)</t>
  </si>
  <si>
    <t xml:space="preserve">s_grid = np.arange(340_000, 195_000, -20_000)</t>
  </si>
  <si>
    <t xml:space="preserve">grid = [[npv(w, [-outlay] + [s] * 5) / 1000 for w in w_grid] for s in s_grid]</t>
  </si>
  <si>
    <t xml:space="preserve">fig, ax = plt.subplots(figsize=(9, 4.5))</t>
  </si>
  <si>
    <t xml:space="preserve">im = ax.imshow(grid, cmap="RdBu", vmin=-650, vmax=650, aspect="auto")</t>
  </si>
  <si>
    <t xml:space="preserve">ax.set_xticks(range(len(w_grid)), [f"{w:.0%}" for w in w_grid])</t>
  </si>
  <si>
    <t xml:space="preserve">ax.set_yticks(range(len(s_grid)), [f"${s / 1000:,.0f}K" for s in s_grid])</t>
  </si>
  <si>
    <t xml:space="preserve">for i in range(len(s_grid)):</t>
  </si>
  <si>
    <t xml:space="preserve">    for j in range(len(w_grid)):</t>
  </si>
  <si>
    <t xml:space="preserve">        ax.text(j, i, f"{grid[i][j]:.0f}", ha="center", va="center", fontsize=7)</t>
  </si>
  <si>
    <t xml:space="preserve">fig.colorbar(im, label="NPV ($K)")</t>
  </si>
  <si>
    <t xml:space="preserve">ax.set_xlabel("WACC")</t>
  </si>
  <si>
    <t xml:space="preserve">ax.set_ylabel("Annual net cash")</t>
  </si>
  <si>
    <t xml:space="preserve">ax.set_title("NPV sensitivity: blue = buy, red = don't")</t>
  </si>
  <si>
    <t xml:space="preserve">Step 8: Scenario 2 four-panel chart</t>
  </si>
  <si>
    <t xml:space="preserve">Target cell: 'Python Charts'!B10     Output: Excel Value: picture in cell</t>
  </si>
  <si>
    <t xml:space="preserve">What it does: ROI, payback and IRR all pick the $1 project. Only NPV picks the $100K project that creates $207K of value.</t>
  </si>
  <si>
    <t xml:space="preserve">rate2 = xl("Inputs!C16")</t>
  </si>
  <si>
    <t xml:space="preserve">pa = [-xl("Inputs!C17")] + [xl("Inputs!C18")] * 10</t>
  </si>
  <si>
    <t xml:space="preserve">pb = [-xl("Inputs!C19")] + [xl("Inputs!C20")] * 10</t>
  </si>
  <si>
    <t xml:space="preserve">def metrics(f):</t>
  </si>
  <si>
    <t xml:space="preserve">    o = -f[0]</t>
  </si>
  <si>
    <t xml:space="preserve">    return {"Simple ROI (%)": (sum(f[1:]) - o) / o * 100,</t>
  </si>
  <si>
    <t xml:space="preserve">            "Payback (years)": payback(f),</t>
  </si>
  <si>
    <t xml:space="preserve">            "IRR (%)": irr(f) * 100,</t>
  </si>
  <si>
    <t xml:space="preserve">            "NPV ($)": npv(rate2, f)}</t>
  </si>
  <si>
    <t xml:space="preserve">s2 = pd.DataFrame({"Project A ($100K)": metrics(pa), "Project B ($1)": metrics(pb)})</t>
  </si>
  <si>
    <t xml:space="preserve">fig, axes = plt.subplots(2, 2, figsize=(9, 6.5))</t>
  </si>
  <si>
    <t xml:space="preserve">for ax, (name, row) in zip(axes.flat, s2.iterrows()):</t>
  </si>
  <si>
    <t xml:space="preserve">    bars = ax.bar(row.index, row.values, color=COLORS[:2])</t>
  </si>
  <si>
    <t xml:space="preserve">    ax.bar_label(bars, labels=[f"{v:,.2f}" for v in row.values])</t>
  </si>
  <si>
    <t xml:space="preserve">    ax.set_title(name)</t>
  </si>
  <si>
    <t xml:space="preserve">fig.suptitle("Three of four metrics pick the tiny project")</t>
  </si>
  <si>
    <t xml:space="preserve">fig.tight_layout()</t>
  </si>
  <si>
    <t xml:space="preserve">Step 9: k-means clusters of the twelve requests</t>
  </si>
  <si>
    <t xml:space="preserve">Target cell: 'Python Charts'!B12     Output: Excel Value: picture in cell</t>
  </si>
  <si>
    <t xml:space="preserve">What it does: Groups requests by size, value per dollar, and total value. Typically: strategic value creators, small quick wins, and thin-margin projects to stress-test. Uses m from Step 4.</t>
  </si>
  <si>
    <t xml:space="preserve">from sklearn.preprocessing import StandardScaler</t>
  </si>
  <si>
    <t xml:space="preserve">from sklearn.cluster import KMeans</t>
  </si>
  <si>
    <t xml:space="preserve">X = np.column_stack([np.log10(m["Outlay"]),     # size of the check</t>
  </si>
  <si>
    <t xml:space="preserve">                     m["NPV"] / m["Outlay"],    # value per dollar</t>
  </si>
  <si>
    <t xml:space="preserve">                     m["NPV"]])                 # total value</t>
  </si>
  <si>
    <t xml:space="preserve">X = StandardScaler().fit_transform(X)</t>
  </si>
  <si>
    <t xml:space="preserve">m["Cluster"] = KMeans(n_clusters=3, n_init=20, random_state=42).fit_predict(X)</t>
  </si>
  <si>
    <t xml:space="preserve">fig, ax = plt.subplots(figsize=(9, 5))</t>
  </si>
  <si>
    <t xml:space="preserve">for k, c in zip(range(3), COLORS):</t>
  </si>
  <si>
    <t xml:space="preserve">    g = m[m["Cluster"] == k]</t>
  </si>
  <si>
    <t xml:space="preserve">    ax.scatter(g["IRR"] * 100, g["NPV"], s=np.sqrt(g["Outlay"]) * 0.9,</t>
  </si>
  <si>
    <t xml:space="preserve">               color=c, alpha=0.8, label=f"Cluster {k + 1}")</t>
  </si>
  <si>
    <t xml:space="preserve">for n, r in m.iterrows():</t>
  </si>
  <si>
    <t xml:space="preserve">    ax.annotate(n, (r["IRR"] * 100, r["NPV"]), fontsize=7,</t>
  </si>
  <si>
    <t xml:space="preserve">                xytext=(4, 4), textcoords="offset points")</t>
  </si>
  <si>
    <t xml:space="preserve">ax.axvline(rate * 100, color="gray", ls="--")</t>
  </si>
  <si>
    <t xml:space="preserve">ax.set_xlabel("IRR (%)")</t>
  </si>
  <si>
    <t xml:space="preserve">ax.set_title("k-means clusters (bubble size = outlay): high IRR is not high value")</t>
  </si>
  <si>
    <t xml:space="preserve">leg = ax.legend()</t>
  </si>
  <si>
    <t xml:space="preserve">for h in leg.legend_handles:</t>
  </si>
  <si>
    <t xml:space="preserve">    h.set_sizes([80])</t>
  </si>
  <si>
    <t xml:space="preserve">Step 10: Monte Carlo risk simulation</t>
  </si>
  <si>
    <t xml:space="preserve">Target cell: 'Python Charts'!B14     Output: Excel Value: picture in cell</t>
  </si>
  <si>
    <t xml:space="preserve">What it does: Simulates thousands of futures where yearly savings vary and the analyzer lasts 4, 5 or 6 years, then shows each lab's chance of losing value. Settings are on Inputs!C42:C43.</t>
  </si>
  <si>
    <t xml:space="preserve">n_sims = int(xl("Inputs!C42"))</t>
  </si>
  <si>
    <t xml:space="preserve">vol = xl("Inputs!C43")</t>
  </si>
  <si>
    <t xml:space="preserve">rng = np.random.default_rng(7)</t>
  </si>
  <si>
    <t xml:space="preserve">lives = rng.choice([4, 5, 6], size=n_sims, p=[0.25, 0.5, 0.25])</t>
  </si>
  <si>
    <t xml:space="preserve">cash = rng.normal(annual, vol * annual, size=(n_sims, 6))</t>
  </si>
  <si>
    <t xml:space="preserve">alive = np.arange(1, 7)[None, :] &lt;= lives[:, None]   # zero out years after the analyzer dies</t>
  </si>
  <si>
    <t xml:space="preserve">    disc = 1 / (1 + r["WACC"]) ** np.arange(1, 7)</t>
  </si>
  <si>
    <t xml:space="preserve">    sim = -outlay + (cash * disc * alive).sum(axis=1)</t>
  </si>
  <si>
    <t xml:space="preserve">    ax.hist(sim, bins=60, histtype="step", lw=2, color=c,</t>
  </si>
  <si>
    <t xml:space="preserve">            label=f'{r["Company"]}: {np.mean(sim &lt; 0):.0%} chance NPV &lt; 0')</t>
  </si>
  <si>
    <t xml:space="preserve">ax.axvline(0, color="black")</t>
  </si>
  <si>
    <t xml:space="preserve">ax.set_xlabel("Simulated NPV ($)")</t>
  </si>
  <si>
    <t xml:space="preserve">ax.xaxis.set_major_formatter(lambda v, pos: f"${v:,.0f}")</t>
  </si>
  <si>
    <t xml:space="preserve">ax.set_ylabel("Number of futures")</t>
  </si>
  <si>
    <t xml:space="preserve">ax.set_title("Monte Carlo: each lab's chance of losing value")</t>
  </si>
  <si>
    <t xml:space="preserve">Python Lab: table results</t>
  </si>
  <si>
    <t xml:space="preserve">Green cells are Python targets. Leave the space below and to the right of each one empty so tables can spill.</t>
  </si>
  <si>
    <t xml:space="preserve">Step 1 · helpers</t>
  </si>
  <si>
    <t xml:space="preserve">Step 2 · WACC table</t>
  </si>
  <si>
    <t xml:space="preserve">Step 3 · Scenario 1 scorecard</t>
  </si>
  <si>
    <t xml:space="preserve">Step 4 · budget rules</t>
  </si>
  <si>
    <t xml:space="preserve">Python Charts: picture results</t>
  </si>
  <si>
    <t xml:space="preserve">Each green cell is sized for a chart. After running a step, set its output to Excel Value to see the picture.</t>
  </si>
  <si>
    <t xml:space="preserve">Step 5 · NPV profile</t>
  </si>
  <si>
    <t xml:space="preserve">Step 6 · cumulative discounted cash</t>
  </si>
  <si>
    <t xml:space="preserve">Step 7 · sensitivity heatmap</t>
  </si>
  <si>
    <t xml:space="preserve">Step 8 · Scenario 2 four panels</t>
  </si>
  <si>
    <t xml:space="preserve">Step 9 · k-means clusters</t>
  </si>
  <si>
    <t xml:space="preserve">Step 10 · Monte Carlo risk</t>
  </si>
  <si>
    <t xml:space="preserve">Tip: to make a chart bigger than its cell, right-click the cell &gt; Picture in Cell &gt; Place over Cells.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</si>
</sst>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-$&quot;#,##0;\-"/>
    <numFmt numFmtId="166" formatCode="0.0%;\-0.0%;\-"/>
    <numFmt numFmtId="167" formatCode="\$#,##0.00"/>
    <numFmt numFmtId="168" formatCode="0"/>
    <numFmt numFmtId="169" formatCode="#,##0"/>
    <numFmt numFmtId="170" formatCode="0%"/>
    <numFmt numFmtId="171" formatCode="0.00"/>
    <numFmt numFmtId="172" formatCode="0.00%"/>
    <numFmt numFmtId="173" formatCode="\$#,##0"/>
    <numFmt numFmtId="174" formatCode="\$#,##0,\K;&quot;-$&quot;#,##0,\K"/>
    <numFmt numFmtId="175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10"/>
      <color rgb="FF1F1F1F"/>
      <name val="Consolas"/>
      <family val="0"/>
      <charset val="1"/>
    </font>
    <font>
      <i val="true"/>
      <sz val="10"/>
      <color rgb="FF2E7D32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FDE4E3"/>
      </patternFill>
    </fill>
    <fill>
      <patternFill patternType="solid">
        <fgColor rgb="FFE2EFDA"/>
        <bgColor rgb="FFDDEBF7"/>
      </patternFill>
    </fill>
    <fill>
      <patternFill patternType="solid">
        <fgColor rgb="FF1F3A5F"/>
        <bgColor rgb="FF1F4E79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4E3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DE4E3"/>
      <rgbColor rgb="FF2A78D6"/>
      <rgbColor rgb="FF33CCCC"/>
      <rgbColor rgb="FF99CC00"/>
      <rgbColor rgb="FFFFC000"/>
      <rgbColor rgb="FFFF9900"/>
      <rgbColor rgb="FFEB6834"/>
      <rgbColor rgb="FF595959"/>
      <rgbColor rgb="FF969696"/>
      <rgbColor rgb="FF1F3A5F"/>
      <rgbColor rgb="FF1BAF7A"/>
      <rgbColor rgb="FF0B0B0B"/>
      <rgbColor rgb="FF333300"/>
      <rgbColor rgb="FF993300"/>
      <rgbColor rgb="FF993366"/>
      <rgbColor rgb="FF1F4E7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Building each lab's WACC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WACC!I4</c:f>
              <c:strCache>
                <c:ptCount val="1"/>
                <c:pt idx="0">
                  <c:v>Equity piece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WACC!$B$5:$B$7</c:f>
              <c:strCache>
                <c:ptCount val="3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</c:strCache>
            </c:strRef>
          </c:cat>
          <c:val>
            <c:numRef>
              <c:f>WACC!$I$5:$I$7</c:f>
              <c:numCache>
                <c:formatCode>0.0%;\-0.0%;\-</c:formatCode>
                <c:ptCount val="3"/>
                <c:pt idx="0">
                  <c:v>0.035</c:v>
                </c:pt>
                <c:pt idx="1">
                  <c:v>0.07</c:v>
                </c:pt>
                <c:pt idx="2">
                  <c:v>0.196</c:v>
                </c:pt>
              </c:numCache>
            </c:numRef>
          </c:val>
        </c:ser>
        <c:ser>
          <c:idx val="1"/>
          <c:order val="1"/>
          <c:tx>
            <c:strRef>
              <c:f>WACC!J4</c:f>
              <c:strCache>
                <c:ptCount val="1"/>
                <c:pt idx="0">
                  <c:v>Debt piece (after tax)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WACC!$B$5:$B$7</c:f>
              <c:strCache>
                <c:ptCount val="3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</c:strCache>
            </c:strRef>
          </c:cat>
          <c:val>
            <c:numRef>
              <c:f>WACC!$J$5:$J$7</c:f>
              <c:numCache>
                <c:formatCode>0.0%;\-0.0%;\-</c:formatCode>
                <c:ptCount val="3"/>
                <c:pt idx="0">
                  <c:v>0.015</c:v>
                </c:pt>
                <c:pt idx="1">
                  <c:v>0.03</c:v>
                </c:pt>
                <c:pt idx="2">
                  <c:v>0.024</c:v>
                </c:pt>
              </c:numCache>
            </c:numRef>
          </c:val>
        </c:ser>
        <c:gapWidth val="150"/>
        <c:overlap val="100"/>
        <c:axId val="62841789"/>
        <c:axId val="70333508"/>
      </c:barChart>
      <c:catAx>
        <c:axId val="628417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33508"/>
        <c:crosses val="autoZero"/>
        <c:auto val="1"/>
        <c:lblAlgn val="ctr"/>
        <c:lblOffset val="100"/>
        <c:noMultiLvlLbl val="0"/>
      </c:catAx>
      <c:valAx>
        <c:axId val="70333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of capital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417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Present value of each $270K payment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Scenario1!B11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Scenario1!$D$10:$H$10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Scenario1!$D$11:$H$11</c:f>
              <c:numCache>
                <c:formatCode>\$#,##0;"-$"#,##0;\-</c:formatCode>
                <c:ptCount val="5"/>
                <c:pt idx="0">
                  <c:v>257142.857142857</c:v>
                </c:pt>
                <c:pt idx="1">
                  <c:v>244897.959183673</c:v>
                </c:pt>
                <c:pt idx="2">
                  <c:v>233236.151603499</c:v>
                </c:pt>
                <c:pt idx="3">
                  <c:v>222129.668193808</c:v>
                </c:pt>
                <c:pt idx="4">
                  <c:v>211552.064946484</c:v>
                </c:pt>
              </c:numCache>
            </c:numRef>
          </c:val>
        </c:ser>
        <c:ser>
          <c:idx val="1"/>
          <c:order val="1"/>
          <c:tx>
            <c:strRef>
              <c:f>Scenario1!B12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Scenario1!$D$10:$H$10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Scenario1!$D$12:$H$12</c:f>
              <c:numCache>
                <c:formatCode>\$#,##0;"-$"#,##0;\-</c:formatCode>
                <c:ptCount val="5"/>
                <c:pt idx="0">
                  <c:v>245454.545454545</c:v>
                </c:pt>
                <c:pt idx="1">
                  <c:v>223140.495867769</c:v>
                </c:pt>
                <c:pt idx="2">
                  <c:v>202854.996243426</c:v>
                </c:pt>
                <c:pt idx="3">
                  <c:v>184413.632948569</c:v>
                </c:pt>
                <c:pt idx="4">
                  <c:v>167648.757225972</c:v>
                </c:pt>
              </c:numCache>
            </c:numRef>
          </c:val>
        </c:ser>
        <c:ser>
          <c:idx val="2"/>
          <c:order val="2"/>
          <c:tx>
            <c:strRef>
              <c:f>Scenario1!B13</c:f>
              <c:strCache>
                <c:ptCount val="1"/>
                <c:pt idx="0">
                  <c:v>Company C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Scenario1!$D$10:$H$10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Scenario1!$D$13:$H$13</c:f>
              <c:numCache>
                <c:formatCode>\$#,##0;"-$"#,##0;\-</c:formatCode>
                <c:ptCount val="5"/>
                <c:pt idx="0">
                  <c:v>221311.475409836</c:v>
                </c:pt>
                <c:pt idx="1">
                  <c:v>181402.848696587</c:v>
                </c:pt>
                <c:pt idx="2">
                  <c:v>148690.859587366</c:v>
                </c:pt>
                <c:pt idx="3">
                  <c:v>121877.753760136</c:v>
                </c:pt>
                <c:pt idx="4">
                  <c:v>99899.7981640462</c:v>
                </c:pt>
              </c:numCache>
            </c:numRef>
          </c:val>
        </c:ser>
        <c:gapWidth val="150"/>
        <c:overlap val="0"/>
        <c:axId val="84384941"/>
        <c:axId val="18622834"/>
      </c:barChart>
      <c:catAx>
        <c:axId val="84384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22834"/>
        <c:crosses val="autoZero"/>
        <c:auto val="1"/>
        <c:lblAlgn val="ctr"/>
        <c:lblOffset val="100"/>
        <c:noMultiLvlLbl val="0"/>
      </c:catAx>
      <c:valAx>
        <c:axId val="18622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Today's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849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discounted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Scenario1!B17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Scenario1!$C$16:$H$16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Scenario1!$C$17:$H$17</c:f>
              <c:numCache>
                <c:formatCode>\$#,##0;"-$"#,##0;\-</c:formatCode>
                <c:ptCount val="6"/>
                <c:pt idx="0">
                  <c:v>-1000000</c:v>
                </c:pt>
                <c:pt idx="1">
                  <c:v>-742857.142857143</c:v>
                </c:pt>
                <c:pt idx="2">
                  <c:v>-497959.183673469</c:v>
                </c:pt>
                <c:pt idx="3">
                  <c:v>-264723.032069971</c:v>
                </c:pt>
                <c:pt idx="4">
                  <c:v>-42593.3638761628</c:v>
                </c:pt>
                <c:pt idx="5">
                  <c:v>168958.701070321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Scenario1!B18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eb6834"/>
            </a:solidFill>
            <a:ln w="2808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Scenario1!$C$16:$H$16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Scenario1!$C$18:$H$18</c:f>
              <c:numCache>
                <c:formatCode>\$#,##0;"-$"#,##0;\-</c:formatCode>
                <c:ptCount val="6"/>
                <c:pt idx="0">
                  <c:v>-1000000</c:v>
                </c:pt>
                <c:pt idx="1">
                  <c:v>-754545.454545455</c:v>
                </c:pt>
                <c:pt idx="2">
                  <c:v>-531404.958677686</c:v>
                </c:pt>
                <c:pt idx="3">
                  <c:v>-328549.96243426</c:v>
                </c:pt>
                <c:pt idx="4">
                  <c:v>-144136.329485691</c:v>
                </c:pt>
                <c:pt idx="5">
                  <c:v>23512.4277402808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Scenario1!B19</c:f>
              <c:strCache>
                <c:ptCount val="1"/>
                <c:pt idx="0">
                  <c:v>Company C</c:v>
                </c:pt>
              </c:strCache>
            </c:strRef>
          </c:tx>
          <c:spPr>
            <a:solidFill>
              <a:srgbClr val="1baf7a"/>
            </a:solidFill>
            <a:ln w="28080">
              <a:solidFill>
                <a:srgbClr val="1baf7a"/>
              </a:solidFill>
              <a:round/>
            </a:ln>
          </c:spPr>
          <c:marker>
            <c:symbol val="circle"/>
            <c:size val="5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Scenario1!$C$16:$H$16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Scenario1!$C$19:$H$19</c:f>
              <c:numCache>
                <c:formatCode>\$#,##0;"-$"#,##0;\-</c:formatCode>
                <c:ptCount val="6"/>
                <c:pt idx="0">
                  <c:v>-1000000</c:v>
                </c:pt>
                <c:pt idx="1">
                  <c:v>-778688.524590164</c:v>
                </c:pt>
                <c:pt idx="2">
                  <c:v>-597285.675893577</c:v>
                </c:pt>
                <c:pt idx="3">
                  <c:v>-448594.816306211</c:v>
                </c:pt>
                <c:pt idx="4">
                  <c:v>-326717.062546074</c:v>
                </c:pt>
                <c:pt idx="5">
                  <c:v>-226817.264382028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896396"/>
        <c:axId val="1823668"/>
      </c:lineChart>
      <c:catAx>
        <c:axId val="53896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3668"/>
        <c:crosses val="autoZero"/>
        <c:auto val="1"/>
        <c:lblAlgn val="ctr"/>
        <c:lblOffset val="100"/>
        <c:noMultiLvlLbl val="0"/>
      </c:catAx>
      <c:valAx>
        <c:axId val="1823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963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by lab (value created or destroyed)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Scenario1!H22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Scenario1!$B$23:$B$25</c:f>
              <c:strCache>
                <c:ptCount val="3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</c:strCache>
            </c:strRef>
          </c:cat>
          <c:val>
            <c:numRef>
              <c:f>Scenario1!$H$23:$H$25</c:f>
              <c:numCache>
                <c:formatCode>\$#,##0;"-$"#,##0;\-</c:formatCode>
                <c:ptCount val="3"/>
                <c:pt idx="0">
                  <c:v>168958.701070321</c:v>
                </c:pt>
                <c:pt idx="1">
                  <c:v>23512.4277402808</c:v>
                </c:pt>
                <c:pt idx="2">
                  <c:v>-226817.264382028</c:v>
                </c:pt>
              </c:numCache>
            </c:numRef>
          </c:val>
        </c:ser>
        <c:gapWidth val="150"/>
        <c:overlap val="0"/>
        <c:axId val="88697558"/>
        <c:axId val="59117517"/>
      </c:barChart>
      <c:catAx>
        <c:axId val="88697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17517"/>
        <c:crosses val="autoZero"/>
        <c:auto val="1"/>
        <c:lblAlgn val="ctr"/>
        <c:lblOffset val="100"/>
        <c:noMultiLvlLbl val="0"/>
      </c:catAx>
      <c:valAx>
        <c:axId val="59117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97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profile: analyzer NPV at every cost of capital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"Analyzer NPV"</c:f>
              <c:strCache>
                <c:ptCount val="1"/>
                <c:pt idx="0">
                  <c:v>Analyzer NPV</c:v>
                </c:pt>
              </c:strCache>
            </c:strRef>
          </c:tx>
          <c:spPr>
            <a:solidFill>
              <a:srgbClr val="0b0b0b"/>
            </a:solidFill>
            <a:ln w="28080">
              <a:solidFill>
                <a:srgbClr val="0b0b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NPV_Profile!$B$5:$B$30</c:f>
              <c:numCache>
                <c:formatCode>0%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</c:numCache>
            </c:numRef>
          </c:xVal>
          <c:yVal>
            <c:numRef>
              <c:f>NPV_Profile!$C$5:$C$30</c:f>
              <c:numCache>
                <c:formatCode>\$#,##0;"-$"#,##0;\-</c:formatCode>
                <c:ptCount val="26"/>
                <c:pt idx="0">
                  <c:v>350000</c:v>
                </c:pt>
                <c:pt idx="1">
                  <c:v>310426.434617783</c:v>
                </c:pt>
                <c:pt idx="2">
                  <c:v>272634.067296135</c:v>
                </c:pt>
                <c:pt idx="3">
                  <c:v>236520.940542524</c:v>
                </c:pt>
                <c:pt idx="4">
                  <c:v>201992.029374375</c:v>
                </c:pt>
                <c:pt idx="5">
                  <c:v>168958.701070321</c:v>
                </c:pt>
                <c:pt idx="6">
                  <c:v>137338.222102743</c:v>
                </c:pt>
                <c:pt idx="7">
                  <c:v>107053.30770585</c:v>
                </c:pt>
                <c:pt idx="8">
                  <c:v>78031.7100110829</c:v>
                </c:pt>
                <c:pt idx="9">
                  <c:v>50205.8411049633</c:v>
                </c:pt>
                <c:pt idx="10">
                  <c:v>23512.4277402808</c:v>
                </c:pt>
                <c:pt idx="11">
                  <c:v>-2107.80523464456</c:v>
                </c:pt>
                <c:pt idx="12">
                  <c:v>-26710.4253668489</c:v>
                </c:pt>
                <c:pt idx="13">
                  <c:v>-50347.5593834692</c:v>
                </c:pt>
                <c:pt idx="14">
                  <c:v>-73068.138408216</c:v>
                </c:pt>
                <c:pt idx="15">
                  <c:v>-94918.1235369213</c:v>
                </c:pt>
                <c:pt idx="16">
                  <c:v>-115940.713511466</c:v>
                </c:pt>
                <c:pt idx="17">
                  <c:v>-136176.536063112</c:v>
                </c:pt>
                <c:pt idx="18">
                  <c:v>-155663.824345688</c:v>
                </c:pt>
                <c:pt idx="19">
                  <c:v>-174438.579744062</c:v>
                </c:pt>
                <c:pt idx="20">
                  <c:v>-192534.722222222</c:v>
                </c:pt>
                <c:pt idx="21">
                  <c:v>-209984.229266541</c:v>
                </c:pt>
                <c:pt idx="22">
                  <c:v>-226817.264382028</c:v>
                </c:pt>
                <c:pt idx="23">
                  <c:v>-243062.296011434</c:v>
                </c:pt>
                <c:pt idx="24">
                  <c:v>-258746.207667842</c:v>
                </c:pt>
                <c:pt idx="25">
                  <c:v>-273894.4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"Labs (A, B, C)"</c:f>
              <c:strCache>
                <c:ptCount val="1"/>
                <c:pt idx="0">
                  <c:v>Labs (A, B, C)</c:v>
                </c:pt>
              </c:strCache>
            </c:strRef>
          </c:tx>
          <c:spPr>
            <a:solidFill>
              <a:srgbClr val="eb6834"/>
            </a:solidFill>
            <a:ln w="47520">
              <a:noFill/>
            </a:ln>
          </c:spPr>
          <c:marker>
            <c:symbol val="circle"/>
            <c:size val="10"/>
            <c:spPr>
              <a:solidFill>
                <a:srgbClr val="eb6834"/>
              </a:solidFill>
            </c:spPr>
          </c:marker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NPV_Profile!$F$5:$F$7</c:f>
              <c:numCache>
                <c:formatCode>0.0%;\-0.0%;\-</c:formatCode>
                <c:ptCount val="3"/>
                <c:pt idx="0">
                  <c:v>0.05</c:v>
                </c:pt>
                <c:pt idx="1">
                  <c:v>0.1</c:v>
                </c:pt>
                <c:pt idx="2">
                  <c:v>0.22</c:v>
                </c:pt>
              </c:numCache>
            </c:numRef>
          </c:xVal>
          <c:yVal>
            <c:numRef>
              <c:f>NPV_Profile!$G$5:$G$7</c:f>
              <c:numCache>
                <c:formatCode>\$#,##0;"-$"#,##0;\-</c:formatCode>
                <c:ptCount val="3"/>
                <c:pt idx="0">
                  <c:v>168958.701070321</c:v>
                </c:pt>
                <c:pt idx="1">
                  <c:v>23512.4277402808</c:v>
                </c:pt>
                <c:pt idx="2">
                  <c:v>-226817.264382028</c:v>
                </c:pt>
              </c:numCache>
            </c:numRef>
          </c:yVal>
          <c:smooth val="1"/>
        </c:ser>
        <c:axId val="11875308"/>
        <c:axId val="3327147"/>
      </c:scatterChart>
      <c:valAx>
        <c:axId val="118753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rate / WACC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7147"/>
        <c:crosses val="autoZero"/>
        <c:crossBetween val="midCat"/>
      </c:valAx>
      <c:valAx>
        <c:axId val="3327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NPV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753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Simple ROI picks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Scenario2!$C$8:$D$8</c:f>
              <c:strCache>
                <c:ptCount val="2"/>
                <c:pt idx="0">
                  <c:v>Project A</c:v>
                </c:pt>
                <c:pt idx="1">
                  <c:v>Project B</c:v>
                </c:pt>
              </c:strCache>
            </c:strRef>
          </c:cat>
          <c:val>
            <c:numRef>
              <c:f>Scenario2!$C$9:$D$9</c:f>
              <c:numCache>
                <c:formatCode>0%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</c:ser>
        <c:gapWidth val="150"/>
        <c:overlap val="0"/>
        <c:axId val="24749069"/>
        <c:axId val="15340476"/>
      </c:barChart>
      <c:catAx>
        <c:axId val="24749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40476"/>
        <c:crosses val="autoZero"/>
        <c:auto val="1"/>
        <c:lblAlgn val="ctr"/>
        <c:lblOffset val="100"/>
        <c:noMultiLvlLbl val="0"/>
      </c:catAx>
      <c:valAx>
        <c:axId val="153404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49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Payback (yrs) picks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Scenario2!$C$8:$D$8</c:f>
              <c:strCache>
                <c:ptCount val="2"/>
                <c:pt idx="0">
                  <c:v>Project A</c:v>
                </c:pt>
                <c:pt idx="1">
                  <c:v>Project B</c:v>
                </c:pt>
              </c:strCache>
            </c:strRef>
          </c:cat>
          <c:val>
            <c:numRef>
              <c:f>Scenario2!$C$10:$D$10</c:f>
              <c:numCache>
                <c:formatCode>0.00</c:formatCode>
                <c:ptCount val="2"/>
                <c:pt idx="0">
                  <c:v>2</c:v>
                </c:pt>
                <c:pt idx="1">
                  <c:v>1.66666666666667</c:v>
                </c:pt>
              </c:numCache>
            </c:numRef>
          </c:val>
        </c:ser>
        <c:gapWidth val="150"/>
        <c:overlap val="0"/>
        <c:axId val="28004047"/>
        <c:axId val="92953399"/>
      </c:barChart>
      <c:catAx>
        <c:axId val="2800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53399"/>
        <c:crosses val="autoZero"/>
        <c:auto val="1"/>
        <c:lblAlgn val="ctr"/>
        <c:lblOffset val="100"/>
        <c:noMultiLvlLbl val="0"/>
      </c:catAx>
      <c:valAx>
        <c:axId val="9295339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40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IRR picks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Scenario2!$C$8:$D$8</c:f>
              <c:strCache>
                <c:ptCount val="2"/>
                <c:pt idx="0">
                  <c:v>Project A</c:v>
                </c:pt>
                <c:pt idx="1">
                  <c:v>Project B</c:v>
                </c:pt>
              </c:strCache>
            </c:strRef>
          </c:cat>
          <c:val>
            <c:numRef>
              <c:f>Scenario2!$C$11:$D$11</c:f>
              <c:numCache>
                <c:formatCode>0.0%</c:formatCode>
                <c:ptCount val="2"/>
                <c:pt idx="0">
                  <c:v>0.490777657401997</c:v>
                </c:pt>
                <c:pt idx="1">
                  <c:v>0.594346409214622</c:v>
                </c:pt>
              </c:numCache>
            </c:numRef>
          </c:val>
        </c:ser>
        <c:gapWidth val="150"/>
        <c:overlap val="0"/>
        <c:axId val="67697463"/>
        <c:axId val="82892056"/>
      </c:barChart>
      <c:catAx>
        <c:axId val="6769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92056"/>
        <c:crosses val="autoZero"/>
        <c:auto val="1"/>
        <c:lblAlgn val="ctr"/>
        <c:lblOffset val="100"/>
        <c:noMultiLvlLbl val="0"/>
      </c:catAx>
      <c:valAx>
        <c:axId val="828920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97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NPV picks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Scenario2!$C$8:$D$8</c:f>
              <c:strCache>
                <c:ptCount val="2"/>
                <c:pt idx="0">
                  <c:v>Project A</c:v>
                </c:pt>
                <c:pt idx="1">
                  <c:v>Project B</c:v>
                </c:pt>
              </c:strCache>
            </c:strRef>
          </c:cat>
          <c:val>
            <c:numRef>
              <c:f>Scenario2!$C$12:$D$12</c:f>
              <c:numCache>
                <c:formatCode>\$#,##0.00</c:formatCode>
                <c:ptCount val="2"/>
                <c:pt idx="0">
                  <c:v>207228.355285234</c:v>
                </c:pt>
                <c:pt idx="1">
                  <c:v>2.68674026342281</c:v>
                </c:pt>
              </c:numCache>
            </c:numRef>
          </c:val>
        </c:ser>
        <c:gapWidth val="150"/>
        <c:overlap val="0"/>
        <c:axId val="18148004"/>
        <c:axId val="55054614"/>
      </c:barChart>
      <c:catAx>
        <c:axId val="18148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54614"/>
        <c:crosses val="autoZero"/>
        <c:auto val="1"/>
        <c:lblAlgn val="ctr"/>
        <c:lblOffset val="100"/>
        <c:noMultiLvlLbl val="0"/>
      </c:catAx>
      <c:valAx>
        <c:axId val="550546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80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NPV by request at the lab's WACC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Portfolio!I5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Portfolio!$B$6:$B$17</c:f>
              <c:strCache>
                <c:ptCount val="12"/>
                <c:pt idx="0">
                  <c:v>Automated chemistry analyzer</c:v>
                </c:pt>
                <c:pt idx="1">
                  <c:v>Liquid-handling robot</c:v>
                </c:pt>
                <c:pt idx="2">
                  <c:v>LIMS upgrade</c:v>
                </c:pt>
                <c:pt idx="3">
                  <c:v>LC-MS/MS system</c:v>
                </c:pt>
                <c:pt idx="4">
                  <c:v>Digital pathology scanner</c:v>
                </c:pt>
                <c:pt idx="5">
                  <c:v>Barcode label printers</c:v>
                </c:pt>
                <c:pt idx="6">
                  <c:v>Pipette calibration kit</c:v>
                </c:pt>
                <c:pt idx="7">
                  <c:v>-80°C freezer replacement</c:v>
                </c:pt>
                <c:pt idx="8">
                  <c:v>Automated sample storage</c:v>
                </c:pt>
                <c:pt idx="9">
                  <c:v>Next-gen sequencer</c:v>
                </c:pt>
                <c:pt idx="10">
                  <c:v>Lab HVAC / fume hood upgrade</c:v>
                </c:pt>
                <c:pt idx="11">
                  <c:v>Benchtop qPCR</c:v>
                </c:pt>
              </c:strCache>
            </c:strRef>
          </c:cat>
          <c:val>
            <c:numRef>
              <c:f>Portfolio!$I$6:$I$17</c:f>
              <c:numCache>
                <c:formatCode>\$#,##0;"-$"#,##0;\-</c:formatCode>
                <c:ptCount val="12"/>
                <c:pt idx="0">
                  <c:v>23512.4277402817</c:v>
                </c:pt>
                <c:pt idx="1">
                  <c:v>53262.941552676</c:v>
                </c:pt>
                <c:pt idx="2">
                  <c:v>135526.069946223</c:v>
                </c:pt>
                <c:pt idx="3">
                  <c:v>213635.977601507</c:v>
                </c:pt>
                <c:pt idx="4">
                  <c:v>63749.7664489117</c:v>
                </c:pt>
                <c:pt idx="5">
                  <c:v>13528.7890171437</c:v>
                </c:pt>
                <c:pt idx="6">
                  <c:v>3703.98196844479</c:v>
                </c:pt>
                <c:pt idx="7">
                  <c:v>33734.8052684562</c:v>
                </c:pt>
                <c:pt idx="8">
                  <c:v>-29544.0370268726</c:v>
                </c:pt>
                <c:pt idx="9">
                  <c:v>101709.960876313</c:v>
                </c:pt>
                <c:pt idx="10">
                  <c:v>10813.8231855139</c:v>
                </c:pt>
                <c:pt idx="11">
                  <c:v>-6276.39691774649</c:v>
                </c:pt>
              </c:numCache>
            </c:numRef>
          </c:val>
        </c:ser>
        <c:gapWidth val="150"/>
        <c:overlap val="0"/>
        <c:axId val="29434664"/>
        <c:axId val="64426567"/>
      </c:barChart>
      <c:catAx>
        <c:axId val="29434664"/>
        <c:scaling>
          <c:orientation val="maxMin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26567"/>
        <c:crosses val="autoZero"/>
        <c:auto val="1"/>
        <c:lblAlgn val="ctr"/>
        <c:lblOffset val="100"/>
        <c:noMultiLvlLbl val="0"/>
      </c:catAx>
      <c:valAx>
        <c:axId val="64426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346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value from the same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Portfolio!$L$19:$N$19</c:f>
              <c:strCache>
                <c:ptCount val="3"/>
                <c:pt idx="0">
                  <c:v>Your picks</c:v>
                </c:pt>
                <c:pt idx="1">
                  <c:v>ROI rule</c:v>
                </c:pt>
                <c:pt idx="2">
                  <c:v>NPV best</c:v>
                </c:pt>
              </c:strCache>
            </c:strRef>
          </c:cat>
          <c:val>
            <c:numRef>
              <c:f>Portfolio!$L$21:$N$21</c:f>
              <c:numCache>
                <c:formatCode>\$#,##0;"-$"#,##0;\-</c:formatCode>
                <c:ptCount val="3"/>
                <c:pt idx="0">
                  <c:v>404667.050069542</c:v>
                </c:pt>
                <c:pt idx="1">
                  <c:v>404667.050069542</c:v>
                </c:pt>
                <c:pt idx="2">
                  <c:v>517142.331803362</c:v>
                </c:pt>
              </c:numCache>
            </c:numRef>
          </c:val>
        </c:ser>
        <c:gapWidth val="150"/>
        <c:overlap val="0"/>
        <c:axId val="60545648"/>
        <c:axId val="19897307"/>
      </c:barChart>
      <c:catAx>
        <c:axId val="605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97307"/>
        <c:crosses val="autoZero"/>
        <c:auto val="1"/>
        <c:lblAlgn val="ctr"/>
        <c:lblOffset val="100"/>
        <c:noMultiLvlLbl val="0"/>
      </c:catAx>
      <c:valAx>
        <c:axId val="1989730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45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130680</xdr:rowOff>
    </xdr:from>
    <xdr:to>
      <xdr:col>6</xdr:col>
      <xdr:colOff>191160</xdr:colOff>
      <xdr:row>23</xdr:row>
      <xdr:rowOff>173880</xdr:rowOff>
    </xdr:to>
    <xdr:graphicFrame>
      <xdr:nvGraphicFramePr>
        <xdr:cNvPr id="0" name="Chart 1"/>
        <xdr:cNvGraphicFramePr/>
      </xdr:nvGraphicFramePr>
      <xdr:xfrm>
        <a:off x="211320" y="2286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131040</xdr:rowOff>
    </xdr:from>
    <xdr:to>
      <xdr:col>5</xdr:col>
      <xdr:colOff>825480</xdr:colOff>
      <xdr:row>47</xdr:row>
      <xdr:rowOff>153000</xdr:rowOff>
    </xdr:to>
    <xdr:graphicFrame>
      <xdr:nvGraphicFramePr>
        <xdr:cNvPr id="1" name="Chart 1"/>
        <xdr:cNvGraphicFramePr/>
      </xdr:nvGraphicFramePr>
      <xdr:xfrm>
        <a:off x="211320" y="6477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32</xdr:row>
      <xdr:rowOff>131040</xdr:rowOff>
    </xdr:from>
    <xdr:to>
      <xdr:col>10</xdr:col>
      <xdr:colOff>1812600</xdr:colOff>
      <xdr:row>47</xdr:row>
      <xdr:rowOff>153000</xdr:rowOff>
    </xdr:to>
    <xdr:graphicFrame>
      <xdr:nvGraphicFramePr>
        <xdr:cNvPr id="2" name="Chart 2"/>
        <xdr:cNvGraphicFramePr/>
      </xdr:nvGraphicFramePr>
      <xdr:xfrm>
        <a:off x="6061680" y="6477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49</xdr:row>
      <xdr:rowOff>131040</xdr:rowOff>
    </xdr:from>
    <xdr:to>
      <xdr:col>5</xdr:col>
      <xdr:colOff>825480</xdr:colOff>
      <xdr:row>64</xdr:row>
      <xdr:rowOff>153000</xdr:rowOff>
    </xdr:to>
    <xdr:graphicFrame>
      <xdr:nvGraphicFramePr>
        <xdr:cNvPr id="3" name="Chart 3"/>
        <xdr:cNvGraphicFramePr/>
      </xdr:nvGraphicFramePr>
      <xdr:xfrm>
        <a:off x="211320" y="9715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131040</xdr:rowOff>
    </xdr:from>
    <xdr:to>
      <xdr:col>10</xdr:col>
      <xdr:colOff>770400</xdr:colOff>
      <xdr:row>26</xdr:row>
      <xdr:rowOff>132120</xdr:rowOff>
    </xdr:to>
    <xdr:graphicFrame>
      <xdr:nvGraphicFramePr>
        <xdr:cNvPr id="4" name="Chart 1"/>
        <xdr:cNvGraphicFramePr/>
      </xdr:nvGraphicFramePr>
      <xdr:xfrm>
        <a:off x="3171960" y="1905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131040</xdr:rowOff>
    </xdr:from>
    <xdr:to>
      <xdr:col>3</xdr:col>
      <xdr:colOff>138240</xdr:colOff>
      <xdr:row>27</xdr:row>
      <xdr:rowOff>184680</xdr:rowOff>
    </xdr:to>
    <xdr:graphicFrame>
      <xdr:nvGraphicFramePr>
        <xdr:cNvPr id="5" name="Chart 1"/>
        <xdr:cNvGraphicFramePr/>
      </xdr:nvGraphicFramePr>
      <xdr:xfrm>
        <a:off x="211320" y="304812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131040</xdr:rowOff>
    </xdr:from>
    <xdr:to>
      <xdr:col>8</xdr:col>
      <xdr:colOff>349560</xdr:colOff>
      <xdr:row>27</xdr:row>
      <xdr:rowOff>184680</xdr:rowOff>
    </xdr:to>
    <xdr:graphicFrame>
      <xdr:nvGraphicFramePr>
        <xdr:cNvPr id="6" name="Chart 2"/>
        <xdr:cNvGraphicFramePr/>
      </xdr:nvGraphicFramePr>
      <xdr:xfrm>
        <a:off x="4299480" y="304812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130680</xdr:rowOff>
    </xdr:from>
    <xdr:to>
      <xdr:col>3</xdr:col>
      <xdr:colOff>138240</xdr:colOff>
      <xdr:row>41</xdr:row>
      <xdr:rowOff>184320</xdr:rowOff>
    </xdr:to>
    <xdr:graphicFrame>
      <xdr:nvGraphicFramePr>
        <xdr:cNvPr id="7" name="Chart 3"/>
        <xdr:cNvGraphicFramePr/>
      </xdr:nvGraphicFramePr>
      <xdr:xfrm>
        <a:off x="211320" y="571500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29</xdr:row>
      <xdr:rowOff>130680</xdr:rowOff>
    </xdr:from>
    <xdr:to>
      <xdr:col>8</xdr:col>
      <xdr:colOff>349560</xdr:colOff>
      <xdr:row>41</xdr:row>
      <xdr:rowOff>184320</xdr:rowOff>
    </xdr:to>
    <xdr:graphicFrame>
      <xdr:nvGraphicFramePr>
        <xdr:cNvPr id="8" name="Chart 4"/>
        <xdr:cNvGraphicFramePr/>
      </xdr:nvGraphicFramePr>
      <xdr:xfrm>
        <a:off x="4299480" y="571500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130680</xdr:rowOff>
    </xdr:from>
    <xdr:to>
      <xdr:col>6</xdr:col>
      <xdr:colOff>692280</xdr:colOff>
      <xdr:row>48</xdr:row>
      <xdr:rowOff>110880</xdr:rowOff>
    </xdr:to>
    <xdr:graphicFrame>
      <xdr:nvGraphicFramePr>
        <xdr:cNvPr id="9" name="Chart 1"/>
        <xdr:cNvGraphicFramePr/>
      </xdr:nvGraphicFramePr>
      <xdr:xfrm>
        <a:off x="211320" y="5905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130680</xdr:rowOff>
    </xdr:from>
    <xdr:to>
      <xdr:col>13</xdr:col>
      <xdr:colOff>301680</xdr:colOff>
      <xdr:row>48</xdr:row>
      <xdr:rowOff>110880</xdr:rowOff>
    </xdr:to>
    <xdr:graphicFrame>
      <xdr:nvGraphicFramePr>
        <xdr:cNvPr id="10" name="Chart 2"/>
        <xdr:cNvGraphicFramePr/>
      </xdr:nvGraphicFramePr>
      <xdr:xfrm>
        <a:off x="6977880" y="59054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abs" displayName="tblLabs" ref="B10:F13" headerRowCount="1" totalsRowCount="0" totalsRowShown="0">
  <autoFilter ref="B10:F13"/>
  <tableColumns count="5">
    <tableColumn id="1" name="Company"/>
    <tableColumn id="2" name="Lab profile"/>
    <tableColumn id="3" name="Equity share"/>
    <tableColumn id="4" name="Cost of equity"/>
    <tableColumn id="5" name="Cost of debt"/>
  </tableColumns>
</table>
</file>

<file path=xl/tables/table2.xml><?xml version="1.0" encoding="utf-8"?>
<table xmlns="http://schemas.openxmlformats.org/spreadsheetml/2006/main" id="2" name="tblRequests" displayName="tblRequests" ref="B27:E39" headerRowCount="1" totalsRowCount="0" totalsRowShown="0">
  <autoFilter ref="B27:E39"/>
  <tableColumns count="4">
    <tableColumn id="1" name="Request"/>
    <tableColumn id="2" name="Outlay"/>
    <tableColumn id="3" name="Annual cash"/>
    <tableColumn id="4" name="Life (yr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45" hidden="false" customHeight="tru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3" t="s">
        <v>7</v>
      </c>
      <c r="C7" s="4"/>
    </row>
    <row r="8" customFormat="false" ht="15" hidden="false" customHeight="true" outlineLevel="0" collapsed="false">
      <c r="B8" s="5" t="s">
        <v>8</v>
      </c>
      <c r="C8" s="6" t="s">
        <v>9</v>
      </c>
    </row>
    <row r="9" customFormat="false" ht="15" hidden="false" customHeight="true" outlineLevel="0" collapsed="false">
      <c r="B9" s="5" t="s">
        <v>10</v>
      </c>
      <c r="C9" s="6" t="s">
        <v>11</v>
      </c>
    </row>
    <row r="10" customFormat="false" ht="15" hidden="false" customHeight="true" outlineLevel="0" collapsed="false">
      <c r="B10" s="5" t="s">
        <v>12</v>
      </c>
      <c r="C10" s="6" t="s">
        <v>13</v>
      </c>
    </row>
    <row r="11" customFormat="false" ht="15" hidden="false" customHeight="true" outlineLevel="0" collapsed="false">
      <c r="B11" s="5" t="s">
        <v>14</v>
      </c>
      <c r="C11" s="6" t="s">
        <v>15</v>
      </c>
    </row>
    <row r="12" customFormat="false" ht="15" hidden="false" customHeight="true" outlineLevel="0" collapsed="false">
      <c r="B12" s="5" t="s">
        <v>16</v>
      </c>
      <c r="C12" s="6" t="s">
        <v>17</v>
      </c>
    </row>
    <row r="13" customFormat="false" ht="30" hidden="false" customHeight="true" outlineLevel="0" collapsed="false">
      <c r="B13" s="5" t="s">
        <v>18</v>
      </c>
      <c r="C13" s="6" t="s">
        <v>19</v>
      </c>
    </row>
    <row r="14" customFormat="false" ht="15" hidden="false" customHeight="true" outlineLevel="0" collapsed="false">
      <c r="B14" s="5" t="s">
        <v>20</v>
      </c>
      <c r="C14" s="6" t="s">
        <v>21</v>
      </c>
    </row>
    <row r="15" customFormat="false" ht="15" hidden="false" customHeight="true" outlineLevel="0" collapsed="false">
      <c r="B15" s="5" t="s">
        <v>22</v>
      </c>
      <c r="C15" s="6" t="s">
        <v>23</v>
      </c>
    </row>
    <row r="16" customFormat="false" ht="15" hidden="false" customHeight="true" outlineLevel="0" collapsed="false">
      <c r="B16" s="5" t="s">
        <v>24</v>
      </c>
      <c r="C16" s="6" t="s">
        <v>25</v>
      </c>
    </row>
    <row r="17" customFormat="false" ht="15" hidden="false" customHeight="false" outlineLevel="0" collapsed="false">
      <c r="B17" s="3" t="s">
        <v>26</v>
      </c>
      <c r="C17" s="4"/>
    </row>
    <row r="18" customFormat="false" ht="15" hidden="false" customHeight="true" outlineLevel="0" collapsed="false">
      <c r="B18" s="7" t="s">
        <v>27</v>
      </c>
      <c r="C18" s="6" t="s">
        <v>28</v>
      </c>
    </row>
    <row r="19" customFormat="false" ht="15" hidden="false" customHeight="true" outlineLevel="0" collapsed="false">
      <c r="B19" s="5" t="s">
        <v>29</v>
      </c>
      <c r="C19" s="6" t="s">
        <v>30</v>
      </c>
    </row>
    <row r="20" customFormat="false" ht="15" hidden="false" customHeight="true" outlineLevel="0" collapsed="false">
      <c r="B20" s="8" t="s">
        <v>31</v>
      </c>
      <c r="C20" s="6" t="s">
        <v>32</v>
      </c>
    </row>
    <row r="21" customFormat="false" ht="15" hidden="false" customHeight="false" outlineLevel="0" collapsed="false">
      <c r="B21" s="3" t="s">
        <v>33</v>
      </c>
      <c r="C21" s="4"/>
    </row>
    <row r="22" customFormat="false" ht="30" hidden="false" customHeight="true" outlineLevel="0" collapsed="false">
      <c r="B22" s="5" t="s">
        <v>34</v>
      </c>
      <c r="C22" s="6" t="s">
        <v>35</v>
      </c>
    </row>
    <row r="23" customFormat="false" ht="30" hidden="false" customHeight="true" outlineLevel="0" collapsed="false">
      <c r="B23" s="5" t="s">
        <v>36</v>
      </c>
      <c r="C23" s="6" t="s">
        <v>37</v>
      </c>
    </row>
    <row r="24" customFormat="false" ht="30" hidden="false" customHeight="true" outlineLevel="0" collapsed="false">
      <c r="B24" s="5" t="s">
        <v>38</v>
      </c>
      <c r="C24" s="6" t="s">
        <v>39</v>
      </c>
    </row>
    <row r="25" customFormat="false" ht="15" hidden="false" customHeight="false" outlineLevel="0" collapsed="false">
      <c r="B25" s="3" t="s">
        <v>40</v>
      </c>
      <c r="C25" s="4"/>
    </row>
    <row r="26" customFormat="false" ht="15" hidden="false" customHeight="true" outlineLevel="0" collapsed="false">
      <c r="B26" s="5" t="s">
        <v>41</v>
      </c>
      <c r="C26" s="6" t="s">
        <v>42</v>
      </c>
    </row>
    <row r="27" customFormat="false" ht="30" hidden="false" customHeight="true" outlineLevel="0" collapsed="false">
      <c r="B27" s="5" t="s">
        <v>43</v>
      </c>
      <c r="C27" s="6" t="s">
        <v>44</v>
      </c>
    </row>
    <row r="28" customFormat="false" ht="30" hidden="false" customHeight="true" outlineLevel="0" collapsed="false">
      <c r="B28" s="5" t="s">
        <v>45</v>
      </c>
      <c r="C28" s="6" t="s">
        <v>46</v>
      </c>
    </row>
    <row r="29" customFormat="false" ht="15" hidden="false" customHeight="true" outlineLevel="0" collapsed="false">
      <c r="B29" s="5" t="s">
        <v>47</v>
      </c>
      <c r="C29" s="6" t="s">
        <v>48</v>
      </c>
    </row>
    <row r="30" customFormat="false" ht="45" hidden="false" customHeight="true" outlineLevel="0" collapsed="false">
      <c r="B30" s="5" t="s">
        <v>49</v>
      </c>
      <c r="C30" s="6" t="s">
        <v>50</v>
      </c>
    </row>
    <row r="31" customFormat="false" ht="15" hidden="false" customHeight="true" outlineLevel="0" collapsed="false">
      <c r="B31" s="5" t="s">
        <v>51</v>
      </c>
      <c r="C31" s="6" t="s">
        <v>52</v>
      </c>
    </row>
    <row r="32" customFormat="false" ht="30" hidden="false" customHeight="true" outlineLevel="0" collapsed="false">
      <c r="B32" s="5" t="s">
        <v>53</v>
      </c>
      <c r="C32" s="6" t="s">
        <v>54</v>
      </c>
    </row>
    <row r="33" customFormat="false" ht="15" hidden="false" customHeight="false" outlineLevel="0" collapsed="false">
      <c r="B33" s="3" t="s">
        <v>55</v>
      </c>
      <c r="C33" s="4"/>
    </row>
    <row r="34" customFormat="false" ht="45" hidden="false" customHeight="true" outlineLevel="0" collapsed="false">
      <c r="B34" s="5" t="s">
        <v>56</v>
      </c>
      <c r="C34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4"/>
    <col collapsed="false" customWidth="true" hidden="false" outlineLevel="0" max="6" min="4" style="0" width="16"/>
    <col collapsed="false" customWidth="true" hidden="false" outlineLevel="0" max="7" min="7" style="0" width="50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B4" s="9" t="s">
        <v>59</v>
      </c>
    </row>
    <row r="5" customFormat="false" ht="15" hidden="false" customHeight="false" outlineLevel="0" collapsed="false">
      <c r="B5" s="10" t="s">
        <v>60</v>
      </c>
      <c r="C5" s="11" t="n">
        <v>1000000</v>
      </c>
      <c r="D5" s="12" t="s">
        <v>61</v>
      </c>
    </row>
    <row r="6" customFormat="false" ht="15" hidden="false" customHeight="false" outlineLevel="0" collapsed="false">
      <c r="B6" s="10" t="s">
        <v>62</v>
      </c>
      <c r="C6" s="11" t="n">
        <v>270000</v>
      </c>
    </row>
    <row r="7" customFormat="false" ht="15" hidden="false" customHeight="false" outlineLevel="0" collapsed="false">
      <c r="B7" s="10" t="s">
        <v>63</v>
      </c>
      <c r="C7" s="13" t="n">
        <v>0.25</v>
      </c>
    </row>
    <row r="9" customFormat="false" ht="15" hidden="false" customHeight="false" outlineLevel="0" collapsed="false">
      <c r="B9" s="9" t="s">
        <v>64</v>
      </c>
    </row>
    <row r="10" customFormat="false" ht="15" hidden="false" customHeight="false" outlineLevel="0" collapsed="false">
      <c r="B10" s="14" t="s">
        <v>65</v>
      </c>
      <c r="C10" s="14" t="s">
        <v>66</v>
      </c>
      <c r="D10" s="14" t="s">
        <v>67</v>
      </c>
      <c r="E10" s="14" t="s">
        <v>68</v>
      </c>
      <c r="F10" s="14" t="s">
        <v>69</v>
      </c>
    </row>
    <row r="11" customFormat="false" ht="15" hidden="false" customHeight="false" outlineLevel="0" collapsed="false">
      <c r="B11" s="15" t="s">
        <v>70</v>
      </c>
      <c r="C11" s="15" t="s">
        <v>71</v>
      </c>
      <c r="D11" s="13" t="n">
        <v>0.5</v>
      </c>
      <c r="E11" s="13" t="n">
        <v>0.07</v>
      </c>
      <c r="F11" s="13" t="n">
        <v>0.04</v>
      </c>
      <c r="G11" s="12" t="s">
        <v>72</v>
      </c>
    </row>
    <row r="12" customFormat="false" ht="15" hidden="false" customHeight="false" outlineLevel="0" collapsed="false">
      <c r="B12" s="15" t="s">
        <v>73</v>
      </c>
      <c r="C12" s="15" t="s">
        <v>74</v>
      </c>
      <c r="D12" s="13" t="n">
        <v>0.5</v>
      </c>
      <c r="E12" s="13" t="n">
        <v>0.14</v>
      </c>
      <c r="F12" s="13" t="n">
        <v>0.08</v>
      </c>
      <c r="G12" s="12" t="s">
        <v>75</v>
      </c>
    </row>
    <row r="13" customFormat="false" ht="15" hidden="false" customHeight="false" outlineLevel="0" collapsed="false">
      <c r="B13" s="15" t="s">
        <v>76</v>
      </c>
      <c r="C13" s="15" t="s">
        <v>77</v>
      </c>
      <c r="D13" s="13" t="n">
        <v>0.8</v>
      </c>
      <c r="E13" s="13" t="n">
        <v>0.245</v>
      </c>
      <c r="F13" s="13" t="n">
        <v>0.16</v>
      </c>
    </row>
    <row r="15" customFormat="false" ht="15" hidden="false" customHeight="false" outlineLevel="0" collapsed="false">
      <c r="B15" s="9" t="s">
        <v>78</v>
      </c>
    </row>
    <row r="16" customFormat="false" ht="15" hidden="false" customHeight="false" outlineLevel="0" collapsed="false">
      <c r="B16" s="10" t="s">
        <v>10</v>
      </c>
      <c r="C16" s="13" t="n">
        <v>0.1</v>
      </c>
    </row>
    <row r="17" customFormat="false" ht="15" hidden="false" customHeight="false" outlineLevel="0" collapsed="false">
      <c r="B17" s="10" t="s">
        <v>79</v>
      </c>
      <c r="C17" s="11" t="n">
        <v>100000</v>
      </c>
    </row>
    <row r="18" customFormat="false" ht="15" hidden="false" customHeight="false" outlineLevel="0" collapsed="false">
      <c r="B18" s="10" t="s">
        <v>80</v>
      </c>
      <c r="C18" s="11" t="n">
        <v>50000</v>
      </c>
    </row>
    <row r="19" customFormat="false" ht="15" hidden="false" customHeight="false" outlineLevel="0" collapsed="false">
      <c r="B19" s="10" t="s">
        <v>81</v>
      </c>
      <c r="C19" s="16" t="n">
        <v>1</v>
      </c>
    </row>
    <row r="20" customFormat="false" ht="15" hidden="false" customHeight="false" outlineLevel="0" collapsed="false">
      <c r="B20" s="10" t="s">
        <v>82</v>
      </c>
      <c r="C20" s="16" t="n">
        <v>0.6</v>
      </c>
    </row>
    <row r="23" customFormat="false" ht="15" hidden="false" customHeight="false" outlineLevel="0" collapsed="false">
      <c r="B23" s="9" t="s">
        <v>83</v>
      </c>
    </row>
    <row r="24" customFormat="false" ht="15" hidden="false" customHeight="false" outlineLevel="0" collapsed="false">
      <c r="B24" s="10" t="s">
        <v>84</v>
      </c>
      <c r="C24" s="13" t="n">
        <v>0.1</v>
      </c>
    </row>
    <row r="25" customFormat="false" ht="15" hidden="false" customHeight="false" outlineLevel="0" collapsed="false">
      <c r="B25" s="10" t="s">
        <v>85</v>
      </c>
      <c r="C25" s="11" t="n">
        <v>2000000</v>
      </c>
    </row>
    <row r="27" customFormat="false" ht="15" hidden="false" customHeight="false" outlineLevel="0" collapsed="false">
      <c r="B27" s="14" t="s">
        <v>86</v>
      </c>
      <c r="C27" s="14" t="s">
        <v>87</v>
      </c>
      <c r="D27" s="14" t="s">
        <v>88</v>
      </c>
      <c r="E27" s="14" t="s">
        <v>89</v>
      </c>
    </row>
    <row r="28" customFormat="false" ht="15" hidden="false" customHeight="false" outlineLevel="0" collapsed="false">
      <c r="B28" s="17" t="s">
        <v>90</v>
      </c>
      <c r="C28" s="11" t="n">
        <v>1000000</v>
      </c>
      <c r="D28" s="11" t="n">
        <v>270000</v>
      </c>
      <c r="E28" s="18" t="n">
        <v>5</v>
      </c>
      <c r="F28" s="12" t="s">
        <v>91</v>
      </c>
    </row>
    <row r="29" customFormat="false" ht="15" hidden="false" customHeight="false" outlineLevel="0" collapsed="false">
      <c r="B29" s="17" t="s">
        <v>92</v>
      </c>
      <c r="C29" s="11" t="n">
        <v>250000</v>
      </c>
      <c r="D29" s="11" t="n">
        <v>80000</v>
      </c>
      <c r="E29" s="18" t="n">
        <v>5</v>
      </c>
    </row>
    <row r="30" customFormat="false" ht="15" hidden="false" customHeight="false" outlineLevel="0" collapsed="false">
      <c r="B30" s="17" t="s">
        <v>93</v>
      </c>
      <c r="C30" s="11" t="n">
        <v>400000</v>
      </c>
      <c r="D30" s="11" t="n">
        <v>110000</v>
      </c>
      <c r="E30" s="18" t="n">
        <v>7</v>
      </c>
    </row>
    <row r="31" customFormat="false" ht="15" hidden="false" customHeight="false" outlineLevel="0" collapsed="false">
      <c r="B31" s="17" t="s">
        <v>94</v>
      </c>
      <c r="C31" s="11" t="n">
        <v>800000</v>
      </c>
      <c r="D31" s="11" t="n">
        <v>190000</v>
      </c>
      <c r="E31" s="18" t="n">
        <v>8</v>
      </c>
    </row>
    <row r="32" customFormat="false" ht="15" hidden="false" customHeight="false" outlineLevel="0" collapsed="false">
      <c r="B32" s="17" t="s">
        <v>95</v>
      </c>
      <c r="C32" s="11" t="n">
        <v>350000</v>
      </c>
      <c r="D32" s="11" t="n">
        <v>95000</v>
      </c>
      <c r="E32" s="18" t="n">
        <v>6</v>
      </c>
    </row>
    <row r="33" customFormat="false" ht="15" hidden="false" customHeight="false" outlineLevel="0" collapsed="false">
      <c r="B33" s="17" t="s">
        <v>96</v>
      </c>
      <c r="C33" s="11" t="n">
        <v>15000</v>
      </c>
      <c r="D33" s="11" t="n">
        <v>9000</v>
      </c>
      <c r="E33" s="18" t="n">
        <v>4</v>
      </c>
    </row>
    <row r="34" customFormat="false" ht="15" hidden="false" customHeight="false" outlineLevel="0" collapsed="false">
      <c r="B34" s="17" t="s">
        <v>97</v>
      </c>
      <c r="C34" s="11" t="n">
        <v>5000</v>
      </c>
      <c r="D34" s="11" t="n">
        <v>3500</v>
      </c>
      <c r="E34" s="18" t="n">
        <v>3</v>
      </c>
    </row>
    <row r="35" customFormat="false" ht="15" hidden="false" customHeight="false" outlineLevel="0" collapsed="false">
      <c r="B35" s="17" t="s">
        <v>98</v>
      </c>
      <c r="C35" s="11" t="n">
        <v>40000</v>
      </c>
      <c r="D35" s="11" t="n">
        <v>12000</v>
      </c>
      <c r="E35" s="18" t="n">
        <v>10</v>
      </c>
    </row>
    <row r="36" customFormat="false" ht="15" hidden="false" customHeight="false" outlineLevel="0" collapsed="false">
      <c r="B36" s="17" t="s">
        <v>99</v>
      </c>
      <c r="C36" s="11" t="n">
        <v>600000</v>
      </c>
      <c r="D36" s="11" t="n">
        <v>75000</v>
      </c>
      <c r="E36" s="18" t="n">
        <v>15</v>
      </c>
    </row>
    <row r="37" customFormat="false" ht="15" hidden="false" customHeight="false" outlineLevel="0" collapsed="false">
      <c r="B37" s="17" t="s">
        <v>100</v>
      </c>
      <c r="C37" s="11" t="n">
        <v>900000</v>
      </c>
      <c r="D37" s="11" t="n">
        <v>230000</v>
      </c>
      <c r="E37" s="18" t="n">
        <v>6</v>
      </c>
    </row>
    <row r="38" customFormat="false" ht="15" hidden="false" customHeight="false" outlineLevel="0" collapsed="false">
      <c r="B38" s="17" t="s">
        <v>101</v>
      </c>
      <c r="C38" s="11" t="n">
        <v>500000</v>
      </c>
      <c r="D38" s="11" t="n">
        <v>60000</v>
      </c>
      <c r="E38" s="18" t="n">
        <v>20</v>
      </c>
    </row>
    <row r="39" customFormat="false" ht="15" hidden="false" customHeight="false" outlineLevel="0" collapsed="false">
      <c r="B39" s="17" t="s">
        <v>102</v>
      </c>
      <c r="C39" s="11" t="n">
        <v>120000</v>
      </c>
      <c r="D39" s="11" t="n">
        <v>30000</v>
      </c>
      <c r="E39" s="18" t="n">
        <v>5</v>
      </c>
    </row>
    <row r="41" customFormat="false" ht="15" hidden="false" customHeight="false" outlineLevel="0" collapsed="false">
      <c r="B41" s="9" t="s">
        <v>103</v>
      </c>
    </row>
    <row r="42" customFormat="false" ht="15" hidden="false" customHeight="false" outlineLevel="0" collapsed="false">
      <c r="B42" s="10" t="s">
        <v>104</v>
      </c>
      <c r="C42" s="19" t="n">
        <v>10000</v>
      </c>
    </row>
    <row r="43" customFormat="false" ht="15" hidden="false" customHeight="false" outlineLevel="0" collapsed="false">
      <c r="B43" s="10" t="s">
        <v>105</v>
      </c>
      <c r="C43" s="1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B4" s="14" t="s">
        <v>65</v>
      </c>
      <c r="C4" s="14" t="s">
        <v>66</v>
      </c>
      <c r="D4" s="14" t="s">
        <v>108</v>
      </c>
      <c r="E4" s="14" t="s">
        <v>109</v>
      </c>
      <c r="F4" s="14" t="s">
        <v>68</v>
      </c>
      <c r="G4" s="14" t="s">
        <v>69</v>
      </c>
      <c r="H4" s="14" t="s">
        <v>110</v>
      </c>
      <c r="I4" s="14" t="s">
        <v>111</v>
      </c>
      <c r="J4" s="14" t="s">
        <v>112</v>
      </c>
      <c r="K4" s="14" t="s">
        <v>10</v>
      </c>
    </row>
    <row r="5" customFormat="false" ht="15" hidden="false" customHeight="false" outlineLevel="0" collapsed="false">
      <c r="B5" s="15" t="str">
        <f aca="false">Inputs!B11</f>
        <v>Company A</v>
      </c>
      <c r="C5" s="15" t="str">
        <f aca="false">Inputs!C11</f>
        <v>Large pharma QC lab</v>
      </c>
      <c r="D5" s="20" t="n">
        <f aca="false">Inputs!D11</f>
        <v>0.5</v>
      </c>
      <c r="E5" s="20" t="n">
        <f aca="false">1-D5</f>
        <v>0.5</v>
      </c>
      <c r="F5" s="20" t="n">
        <f aca="false">Inputs!E11</f>
        <v>0.07</v>
      </c>
      <c r="G5" s="20" t="n">
        <f aca="false">Inputs!F11</f>
        <v>0.04</v>
      </c>
      <c r="H5" s="20" t="n">
        <f aca="false">Inputs!$C$7</f>
        <v>0.25</v>
      </c>
      <c r="I5" s="20" t="n">
        <f aca="false">D5*F5</f>
        <v>0.035</v>
      </c>
      <c r="J5" s="20" t="n">
        <f aca="false">E5*G5*(1-H5)</f>
        <v>0.015</v>
      </c>
      <c r="K5" s="21" t="n">
        <f aca="false">I5+J5</f>
        <v>0.05</v>
      </c>
    </row>
    <row r="6" customFormat="false" ht="15" hidden="false" customHeight="false" outlineLevel="0" collapsed="false">
      <c r="B6" s="15" t="str">
        <f aca="false">Inputs!B12</f>
        <v>Company B</v>
      </c>
      <c r="C6" s="15" t="str">
        <f aca="false">Inputs!C12</f>
        <v>Mid-sized contract research lab</v>
      </c>
      <c r="D6" s="20" t="n">
        <f aca="false">Inputs!D12</f>
        <v>0.5</v>
      </c>
      <c r="E6" s="20" t="n">
        <f aca="false">1-D6</f>
        <v>0.5</v>
      </c>
      <c r="F6" s="20" t="n">
        <f aca="false">Inputs!E12</f>
        <v>0.14</v>
      </c>
      <c r="G6" s="20" t="n">
        <f aca="false">Inputs!F12</f>
        <v>0.08</v>
      </c>
      <c r="H6" s="20" t="n">
        <f aca="false">Inputs!$C$7</f>
        <v>0.25</v>
      </c>
      <c r="I6" s="20" t="n">
        <f aca="false">D6*F6</f>
        <v>0.07</v>
      </c>
      <c r="J6" s="20" t="n">
        <f aca="false">E6*G6*(1-H6)</f>
        <v>0.03</v>
      </c>
      <c r="K6" s="21" t="n">
        <f aca="false">I6+J6</f>
        <v>0.1</v>
      </c>
    </row>
    <row r="7" customFormat="false" ht="15" hidden="false" customHeight="false" outlineLevel="0" collapsed="false">
      <c r="B7" s="15" t="str">
        <f aca="false">Inputs!B13</f>
        <v>Company C</v>
      </c>
      <c r="C7" s="15" t="str">
        <f aca="false">Inputs!C13</f>
        <v>Venture-backed biotech startup</v>
      </c>
      <c r="D7" s="20" t="n">
        <f aca="false">Inputs!D13</f>
        <v>0.8</v>
      </c>
      <c r="E7" s="20" t="n">
        <f aca="false">1-D7</f>
        <v>0.2</v>
      </c>
      <c r="F7" s="20" t="n">
        <f aca="false">Inputs!E13</f>
        <v>0.245</v>
      </c>
      <c r="G7" s="20" t="n">
        <f aca="false">Inputs!F13</f>
        <v>0.16</v>
      </c>
      <c r="H7" s="20" t="n">
        <f aca="false">Inputs!$C$7</f>
        <v>0.25</v>
      </c>
      <c r="I7" s="20" t="n">
        <f aca="false">D7*F7</f>
        <v>0.196</v>
      </c>
      <c r="J7" s="20" t="n">
        <f aca="false">E7*G7*(1-H7)</f>
        <v>0.024</v>
      </c>
      <c r="K7" s="21" t="n">
        <f aca="false">I7+J7</f>
        <v>0.22</v>
      </c>
    </row>
    <row r="9" customFormat="false" ht="15" hidden="false" customHeight="false" outlineLevel="0" collapsed="false">
      <c r="B9" s="12" t="s">
        <v>113</v>
      </c>
    </row>
    <row r="10" customFormat="false" ht="15" hidden="false" customHeight="false" outlineLevel="0" collapsed="false">
      <c r="B10" s="1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42"/>
  </cols>
  <sheetData>
    <row r="1" customFormat="false" ht="19.7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B4" s="9" t="s">
        <v>117</v>
      </c>
    </row>
    <row r="5" customFormat="false" ht="15" hidden="false" customHeight="false" outlineLevel="0" collapsed="false">
      <c r="B5" s="14" t="s">
        <v>118</v>
      </c>
      <c r="C5" s="14" t="s">
        <v>119</v>
      </c>
      <c r="D5" s="14" t="s">
        <v>120</v>
      </c>
      <c r="E5" s="14" t="s">
        <v>121</v>
      </c>
      <c r="F5" s="14" t="s">
        <v>122</v>
      </c>
      <c r="G5" s="14" t="s">
        <v>123</v>
      </c>
      <c r="H5" s="14" t="s">
        <v>124</v>
      </c>
    </row>
    <row r="6" customFormat="false" ht="15" hidden="false" customHeight="false" outlineLevel="0" collapsed="false">
      <c r="B6" s="10" t="s">
        <v>125</v>
      </c>
      <c r="C6" s="22" t="n">
        <f aca="false">-Inputs!C5</f>
        <v>-1000000</v>
      </c>
      <c r="D6" s="22" t="n">
        <f aca="false">Inputs!$C$6</f>
        <v>270000</v>
      </c>
      <c r="E6" s="22" t="n">
        <f aca="false">Inputs!$C$6</f>
        <v>270000</v>
      </c>
      <c r="F6" s="22" t="n">
        <f aca="false">Inputs!$C$6</f>
        <v>270000</v>
      </c>
      <c r="G6" s="22" t="n">
        <f aca="false">Inputs!$C$6</f>
        <v>270000</v>
      </c>
      <c r="H6" s="22" t="n">
        <f aca="false">Inputs!$C$6</f>
        <v>270000</v>
      </c>
      <c r="K6" s="12" t="s">
        <v>126</v>
      </c>
    </row>
    <row r="7" customFormat="false" ht="15" hidden="false" customHeight="false" outlineLevel="0" collapsed="false">
      <c r="B7" s="10" t="s">
        <v>127</v>
      </c>
      <c r="C7" s="22" t="n">
        <f aca="false">SUM($C$6:C6)</f>
        <v>-1000000</v>
      </c>
      <c r="D7" s="22" t="n">
        <f aca="false">SUM($C$6:D6)</f>
        <v>-730000</v>
      </c>
      <c r="E7" s="22" t="n">
        <f aca="false">SUM($C$6:E6)</f>
        <v>-460000</v>
      </c>
      <c r="F7" s="22" t="n">
        <f aca="false">SUM($C$6:F6)</f>
        <v>-190000</v>
      </c>
      <c r="G7" s="22" t="n">
        <f aca="false">SUM($C$6:G6)</f>
        <v>80000</v>
      </c>
      <c r="H7" s="22" t="n">
        <f aca="false">SUM($C$6:H6)</f>
        <v>350000</v>
      </c>
    </row>
    <row r="9" customFormat="false" ht="15" hidden="false" customHeight="false" outlineLevel="0" collapsed="false">
      <c r="B9" s="9" t="s">
        <v>128</v>
      </c>
    </row>
    <row r="10" customFormat="false" ht="15" hidden="false" customHeight="false" outlineLevel="0" collapsed="false">
      <c r="B10" s="14" t="s">
        <v>65</v>
      </c>
      <c r="C10" s="14" t="s">
        <v>129</v>
      </c>
      <c r="D10" s="14" t="s">
        <v>130</v>
      </c>
      <c r="E10" s="14" t="s">
        <v>131</v>
      </c>
      <c r="F10" s="14" t="s">
        <v>132</v>
      </c>
      <c r="G10" s="14" t="s">
        <v>133</v>
      </c>
      <c r="H10" s="14" t="s">
        <v>134</v>
      </c>
    </row>
    <row r="11" customFormat="false" ht="15" hidden="false" customHeight="false" outlineLevel="0" collapsed="false">
      <c r="B11" s="10" t="str">
        <f aca="false">WACC!B5</f>
        <v>Company A</v>
      </c>
      <c r="C11" s="22" t="n">
        <f aca="false">C$6/(1+WACC!$K$5)^0</f>
        <v>-1000000</v>
      </c>
      <c r="D11" s="22" t="n">
        <f aca="false">D$6/(1+WACC!$K$5)^1</f>
        <v>257142.857142857</v>
      </c>
      <c r="E11" s="22" t="n">
        <f aca="false">E$6/(1+WACC!$K$5)^2</f>
        <v>244897.959183673</v>
      </c>
      <c r="F11" s="22" t="n">
        <f aca="false">F$6/(1+WACC!$K$5)^3</f>
        <v>233236.151603499</v>
      </c>
      <c r="G11" s="22" t="n">
        <f aca="false">G$6/(1+WACC!$K$5)^4</f>
        <v>222129.668193808</v>
      </c>
      <c r="H11" s="22" t="n">
        <f aca="false">H$6/(1+WACC!$K$5)^5</f>
        <v>211552.064946484</v>
      </c>
    </row>
    <row r="12" customFormat="false" ht="15" hidden="false" customHeight="false" outlineLevel="0" collapsed="false">
      <c r="B12" s="10" t="str">
        <f aca="false">WACC!B6</f>
        <v>Company B</v>
      </c>
      <c r="C12" s="22" t="n">
        <f aca="false">C$6/(1+WACC!$K$6)^0</f>
        <v>-1000000</v>
      </c>
      <c r="D12" s="22" t="n">
        <f aca="false">D$6/(1+WACC!$K$6)^1</f>
        <v>245454.545454545</v>
      </c>
      <c r="E12" s="22" t="n">
        <f aca="false">E$6/(1+WACC!$K$6)^2</f>
        <v>223140.495867769</v>
      </c>
      <c r="F12" s="22" t="n">
        <f aca="false">F$6/(1+WACC!$K$6)^3</f>
        <v>202854.996243426</v>
      </c>
      <c r="G12" s="22" t="n">
        <f aca="false">G$6/(1+WACC!$K$6)^4</f>
        <v>184413.632948569</v>
      </c>
      <c r="H12" s="22" t="n">
        <f aca="false">H$6/(1+WACC!$K$6)^5</f>
        <v>167648.757225972</v>
      </c>
    </row>
    <row r="13" customFormat="false" ht="15" hidden="false" customHeight="false" outlineLevel="0" collapsed="false">
      <c r="B13" s="10" t="str">
        <f aca="false">WACC!B7</f>
        <v>Company C</v>
      </c>
      <c r="C13" s="22" t="n">
        <f aca="false">C$6/(1+WACC!$K$7)^0</f>
        <v>-1000000</v>
      </c>
      <c r="D13" s="22" t="n">
        <f aca="false">D$6/(1+WACC!$K$7)^1</f>
        <v>221311.475409836</v>
      </c>
      <c r="E13" s="22" t="n">
        <f aca="false">E$6/(1+WACC!$K$7)^2</f>
        <v>181402.848696587</v>
      </c>
      <c r="F13" s="22" t="n">
        <f aca="false">F$6/(1+WACC!$K$7)^3</f>
        <v>148690.859587366</v>
      </c>
      <c r="G13" s="22" t="n">
        <f aca="false">G$6/(1+WACC!$K$7)^4</f>
        <v>121877.753760136</v>
      </c>
      <c r="H13" s="22" t="n">
        <f aca="false">H$6/(1+WACC!$K$7)^5</f>
        <v>99899.7981640462</v>
      </c>
    </row>
    <row r="15" customFormat="false" ht="15" hidden="false" customHeight="false" outlineLevel="0" collapsed="false">
      <c r="B15" s="9" t="s">
        <v>135</v>
      </c>
    </row>
    <row r="16" customFormat="false" ht="15" hidden="false" customHeight="false" outlineLevel="0" collapsed="false">
      <c r="B16" s="14" t="s">
        <v>65</v>
      </c>
      <c r="C16" s="14" t="s">
        <v>129</v>
      </c>
      <c r="D16" s="14" t="s">
        <v>130</v>
      </c>
      <c r="E16" s="14" t="s">
        <v>131</v>
      </c>
      <c r="F16" s="14" t="s">
        <v>132</v>
      </c>
      <c r="G16" s="14" t="s">
        <v>133</v>
      </c>
      <c r="H16" s="14" t="s">
        <v>134</v>
      </c>
    </row>
    <row r="17" customFormat="false" ht="15" hidden="false" customHeight="false" outlineLevel="0" collapsed="false">
      <c r="B17" s="10" t="str">
        <f aca="false">WACC!B5</f>
        <v>Company A</v>
      </c>
      <c r="C17" s="22" t="n">
        <f aca="false">SUM($C11:C11)</f>
        <v>-1000000</v>
      </c>
      <c r="D17" s="22" t="n">
        <f aca="false">SUM($C11:D11)</f>
        <v>-742857.142857143</v>
      </c>
      <c r="E17" s="22" t="n">
        <f aca="false">SUM($C11:E11)</f>
        <v>-497959.183673469</v>
      </c>
      <c r="F17" s="22" t="n">
        <f aca="false">SUM($C11:F11)</f>
        <v>-264723.032069971</v>
      </c>
      <c r="G17" s="22" t="n">
        <f aca="false">SUM($C11:G11)</f>
        <v>-42593.3638761628</v>
      </c>
      <c r="H17" s="22" t="n">
        <f aca="false">SUM($C11:H11)</f>
        <v>168958.701070321</v>
      </c>
    </row>
    <row r="18" customFormat="false" ht="15" hidden="false" customHeight="false" outlineLevel="0" collapsed="false">
      <c r="B18" s="10" t="str">
        <f aca="false">WACC!B6</f>
        <v>Company B</v>
      </c>
      <c r="C18" s="22" t="n">
        <f aca="false">SUM($C12:C12)</f>
        <v>-1000000</v>
      </c>
      <c r="D18" s="22" t="n">
        <f aca="false">SUM($C12:D12)</f>
        <v>-754545.454545455</v>
      </c>
      <c r="E18" s="22" t="n">
        <f aca="false">SUM($C12:E12)</f>
        <v>-531404.958677686</v>
      </c>
      <c r="F18" s="22" t="n">
        <f aca="false">SUM($C12:F12)</f>
        <v>-328549.96243426</v>
      </c>
      <c r="G18" s="22" t="n">
        <f aca="false">SUM($C12:G12)</f>
        <v>-144136.329485691</v>
      </c>
      <c r="H18" s="22" t="n">
        <f aca="false">SUM($C12:H12)</f>
        <v>23512.4277402808</v>
      </c>
    </row>
    <row r="19" customFormat="false" ht="15" hidden="false" customHeight="false" outlineLevel="0" collapsed="false">
      <c r="B19" s="10" t="str">
        <f aca="false">WACC!B7</f>
        <v>Company C</v>
      </c>
      <c r="C19" s="22" t="n">
        <f aca="false">SUM($C13:C13)</f>
        <v>-1000000</v>
      </c>
      <c r="D19" s="22" t="n">
        <f aca="false">SUM($C13:D13)</f>
        <v>-778688.524590164</v>
      </c>
      <c r="E19" s="22" t="n">
        <f aca="false">SUM($C13:E13)</f>
        <v>-597285.675893577</v>
      </c>
      <c r="F19" s="22" t="n">
        <f aca="false">SUM($C13:F13)</f>
        <v>-448594.816306211</v>
      </c>
      <c r="G19" s="22" t="n">
        <f aca="false">SUM($C13:G13)</f>
        <v>-326717.062546074</v>
      </c>
      <c r="H19" s="22" t="n">
        <f aca="false">SUM($C13:H13)</f>
        <v>-226817.264382028</v>
      </c>
    </row>
    <row r="21" customFormat="false" ht="15" hidden="false" customHeight="false" outlineLevel="0" collapsed="false">
      <c r="B21" s="9" t="s">
        <v>136</v>
      </c>
    </row>
    <row r="22" customFormat="false" ht="30" hidden="false" customHeight="true" outlineLevel="0" collapsed="false">
      <c r="B22" s="14" t="s">
        <v>65</v>
      </c>
      <c r="C22" s="14" t="s">
        <v>10</v>
      </c>
      <c r="D22" s="14" t="s">
        <v>137</v>
      </c>
      <c r="E22" s="14" t="s">
        <v>138</v>
      </c>
      <c r="F22" s="14" t="s">
        <v>139</v>
      </c>
      <c r="G22" s="14" t="s">
        <v>140</v>
      </c>
      <c r="H22" s="14" t="s">
        <v>141</v>
      </c>
      <c r="I22" s="14" t="s">
        <v>142</v>
      </c>
      <c r="J22" s="14" t="s">
        <v>143</v>
      </c>
    </row>
    <row r="23" customFormat="false" ht="15" hidden="false" customHeight="false" outlineLevel="0" collapsed="false">
      <c r="B23" s="10" t="str">
        <f aca="false">WACC!B5</f>
        <v>Company A</v>
      </c>
      <c r="C23" s="20" t="n">
        <f aca="false">WACC!K5</f>
        <v>0.05</v>
      </c>
      <c r="D23" s="20" t="n">
        <f aca="false">(SUM($D$6:$H$6)+$C$6)/-$C$6</f>
        <v>0.35</v>
      </c>
      <c r="E23" s="23" t="n">
        <f aca="false">IF(COUNTIF($C$7:$H$7,"&lt;0")=6,"Never",COUNTIF($C$7:$H$7,"&lt;0")-1-INDEX($C$7:$H$7,COUNTIF($C$7:$H$7,"&lt;0"))/INDEX($C$6:$H$6,COUNTIF($C$7:$H$7,"&lt;0")+1))</f>
        <v>3.7037037037037</v>
      </c>
      <c r="F23" s="23" t="n">
        <f aca="false">IF(COUNTIF($C$17:$H$17,"&lt;0")=6,"Never",COUNTIF($C$17:$H$17,"&lt;0")-1-INDEX($C$17:$H$17,COUNTIF($C$17:$H$17,"&lt;0"))/INDEX($C$11:$H$11,COUNTIF($C$17:$H$17,"&lt;0")+1))</f>
        <v>4.2013375</v>
      </c>
      <c r="G23" s="24" t="n">
        <f aca="false">IRR($C$6:$H$6)</f>
        <v>0.109161745234228</v>
      </c>
      <c r="H23" s="25" t="n">
        <f aca="false">NPV(C23,$D$6:$H$6)+$C$6</f>
        <v>168958.701070321</v>
      </c>
      <c r="I23" s="23" t="n">
        <f aca="false">1+H23/-$C$6</f>
        <v>1.16895870107032</v>
      </c>
      <c r="J23" s="10" t="str">
        <f aca="false">IF(H23&gt;50000,"Strong accept",IF(H23&gt;0,"Marginal accept","Reject"))</f>
        <v>Strong accept</v>
      </c>
    </row>
    <row r="24" customFormat="false" ht="15" hidden="false" customHeight="false" outlineLevel="0" collapsed="false">
      <c r="B24" s="10" t="str">
        <f aca="false">WACC!B6</f>
        <v>Company B</v>
      </c>
      <c r="C24" s="20" t="n">
        <f aca="false">WACC!K6</f>
        <v>0.1</v>
      </c>
      <c r="D24" s="20" t="n">
        <f aca="false">(SUM($D$6:$H$6)+$C$6)/-$C$6</f>
        <v>0.35</v>
      </c>
      <c r="E24" s="23" t="n">
        <f aca="false">IF(COUNTIF($C$7:$H$7,"&lt;0")=6,"Never",COUNTIF($C$7:$H$7,"&lt;0")-1-INDEX($C$7:$H$7,COUNTIF($C$7:$H$7,"&lt;0"))/INDEX($C$6:$H$6,COUNTIF($C$7:$H$7,"&lt;0")+1))</f>
        <v>3.7037037037037</v>
      </c>
      <c r="F24" s="23" t="n">
        <f aca="false">IF(COUNTIF($C$18:$H$18,"&lt;0")=6,"Never",COUNTIF($C$18:$H$18,"&lt;0")-1-INDEX($C$18:$H$18,COUNTIF($C$18:$H$18,"&lt;0"))/INDEX($C$12:$H$12,COUNTIF($C$18:$H$18,"&lt;0")+1))</f>
        <v>4.85975185185185</v>
      </c>
      <c r="G24" s="24" t="n">
        <f aca="false">IRR($C$6:$H$6)</f>
        <v>0.109161745234228</v>
      </c>
      <c r="H24" s="25" t="n">
        <f aca="false">NPV(C24,$D$6:$H$6)+$C$6</f>
        <v>23512.4277402808</v>
      </c>
      <c r="I24" s="23" t="n">
        <f aca="false">1+H24/-$C$6</f>
        <v>1.02351242774028</v>
      </c>
      <c r="J24" s="10" t="str">
        <f aca="false">IF(H24&gt;50000,"Strong accept",IF(H24&gt;0,"Marginal accept","Reject"))</f>
        <v>Marginal accept</v>
      </c>
    </row>
    <row r="25" customFormat="false" ht="15" hidden="false" customHeight="false" outlineLevel="0" collapsed="false">
      <c r="B25" s="10" t="str">
        <f aca="false">WACC!B7</f>
        <v>Company C</v>
      </c>
      <c r="C25" s="20" t="n">
        <f aca="false">WACC!K7</f>
        <v>0.22</v>
      </c>
      <c r="D25" s="20" t="n">
        <f aca="false">(SUM($D$6:$H$6)+$C$6)/-$C$6</f>
        <v>0.35</v>
      </c>
      <c r="E25" s="23" t="n">
        <f aca="false">IF(COUNTIF($C$7:$H$7,"&lt;0")=6,"Never",COUNTIF($C$7:$H$7,"&lt;0")-1-INDEX($C$7:$H$7,COUNTIF($C$7:$H$7,"&lt;0"))/INDEX($C$6:$H$6,COUNTIF($C$7:$H$7,"&lt;0")+1))</f>
        <v>3.7037037037037</v>
      </c>
      <c r="F25" s="23" t="str">
        <f aca="false">IF(COUNTIF($C$19:$H$19,"&lt;0")=6,"Never",COUNTIF($C$19:$H$19,"&lt;0")-1-INDEX($C$19:$H$19,COUNTIF($C$19:$H$19,"&lt;0"))/INDEX($C$13:$H$13,COUNTIF($C$19:$H$19,"&lt;0")+1))</f>
        <v>Never</v>
      </c>
      <c r="G25" s="24" t="n">
        <f aca="false">IRR($C$6:$H$6)</f>
        <v>0.109161745234228</v>
      </c>
      <c r="H25" s="25" t="n">
        <f aca="false">NPV(C25,$D$6:$H$6)+$C$6</f>
        <v>-226817.264382028</v>
      </c>
      <c r="I25" s="23" t="n">
        <f aca="false">1+H25/-$C$6</f>
        <v>0.773182735617972</v>
      </c>
      <c r="J25" s="10" t="str">
        <f aca="false">IF(H25&gt;50000,"Strong accept",IF(H25&gt;0,"Marginal accept","Reject"))</f>
        <v>Reject</v>
      </c>
    </row>
    <row r="27" customFormat="false" ht="15" hidden="false" customHeight="false" outlineLevel="0" collapsed="false">
      <c r="B27" s="12" t="s">
        <v>144</v>
      </c>
    </row>
    <row r="28" customFormat="false" ht="15" hidden="false" customHeight="false" outlineLevel="0" collapsed="false">
      <c r="B28" s="12" t="s">
        <v>145</v>
      </c>
    </row>
    <row r="29" customFormat="false" ht="15" hidden="false" customHeight="false" outlineLevel="0" collapsed="false">
      <c r="B29" s="12" t="s">
        <v>146</v>
      </c>
    </row>
    <row r="30" customFormat="false" ht="15" hidden="false" customHeight="false" outlineLevel="0" collapsed="false">
      <c r="B30" s="12" t="s">
        <v>147</v>
      </c>
    </row>
    <row r="31" customFormat="false" ht="15" hidden="false" customHeight="false" outlineLevel="0" collapsed="false">
      <c r="B31" s="12" t="s">
        <v>148</v>
      </c>
    </row>
  </sheetData>
  <conditionalFormatting sqref="J23:J25">
    <cfRule type="cellIs" priority="2" operator="equal" aboveAverage="0" equalAverage="0" bottom="0" percent="0" rank="0" text="" dxfId="5">
      <formula>"Reject"</formula>
    </cfRule>
  </conditionalFormatting>
  <conditionalFormatting sqref="H23:H25">
    <cfRule type="cellIs" priority="3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14" min="8" style="0" width="13"/>
  </cols>
  <sheetData>
    <row r="1" customFormat="false" ht="19.7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B4" s="14" t="s">
        <v>151</v>
      </c>
      <c r="C4" s="14" t="s">
        <v>152</v>
      </c>
      <c r="E4" s="14" t="s">
        <v>65</v>
      </c>
      <c r="F4" s="14" t="s">
        <v>10</v>
      </c>
      <c r="G4" s="14" t="s">
        <v>141</v>
      </c>
    </row>
    <row r="5" customFormat="false" ht="15" hidden="false" customHeight="false" outlineLevel="0" collapsed="false">
      <c r="B5" s="26" t="n">
        <v>0</v>
      </c>
      <c r="C5" s="22" t="n">
        <f aca="false">NPV(B5,Scenario1!$D$6:$H$6)+Scenario1!$C$6</f>
        <v>350000</v>
      </c>
      <c r="E5" s="15" t="str">
        <f aca="false">WACC!B5</f>
        <v>Company A</v>
      </c>
      <c r="F5" s="20" t="n">
        <f aca="false">WACC!K5</f>
        <v>0.05</v>
      </c>
      <c r="G5" s="22" t="n">
        <f aca="false">Scenario1!H23</f>
        <v>168958.701070321</v>
      </c>
    </row>
    <row r="6" customFormat="false" ht="15" hidden="false" customHeight="false" outlineLevel="0" collapsed="false">
      <c r="B6" s="26" t="n">
        <v>0.01</v>
      </c>
      <c r="C6" s="22" t="n">
        <f aca="false">NPV(B6,Scenario1!$D$6:$H$6)+Scenario1!$C$6</f>
        <v>310426.434617783</v>
      </c>
      <c r="E6" s="15" t="str">
        <f aca="false">WACC!B6</f>
        <v>Company B</v>
      </c>
      <c r="F6" s="20" t="n">
        <f aca="false">WACC!K6</f>
        <v>0.1</v>
      </c>
      <c r="G6" s="22" t="n">
        <f aca="false">Scenario1!H24</f>
        <v>23512.4277402808</v>
      </c>
    </row>
    <row r="7" customFormat="false" ht="15" hidden="false" customHeight="false" outlineLevel="0" collapsed="false">
      <c r="B7" s="26" t="n">
        <v>0.02</v>
      </c>
      <c r="C7" s="22" t="n">
        <f aca="false">NPV(B7,Scenario1!$D$6:$H$6)+Scenario1!$C$6</f>
        <v>272634.067296135</v>
      </c>
      <c r="E7" s="15" t="str">
        <f aca="false">WACC!B7</f>
        <v>Company C</v>
      </c>
      <c r="F7" s="20" t="n">
        <f aca="false">WACC!K7</f>
        <v>0.22</v>
      </c>
      <c r="G7" s="22" t="n">
        <f aca="false">Scenario1!H25</f>
        <v>-226817.264382028</v>
      </c>
    </row>
    <row r="8" customFormat="false" ht="15" hidden="false" customHeight="false" outlineLevel="0" collapsed="false">
      <c r="B8" s="26" t="n">
        <v>0.03</v>
      </c>
      <c r="C8" s="22" t="n">
        <f aca="false">NPV(B8,Scenario1!$D$6:$H$6)+Scenario1!$C$6</f>
        <v>236520.940542524</v>
      </c>
    </row>
    <row r="9" customFormat="false" ht="15" hidden="false" customHeight="false" outlineLevel="0" collapsed="false">
      <c r="B9" s="26" t="n">
        <v>0.04</v>
      </c>
      <c r="C9" s="22" t="n">
        <f aca="false">NPV(B9,Scenario1!$D$6:$H$6)+Scenario1!$C$6</f>
        <v>201992.029374375</v>
      </c>
      <c r="E9" s="10" t="s">
        <v>140</v>
      </c>
      <c r="F9" s="24" t="n">
        <f aca="false">Scenario1!G23</f>
        <v>0.109161745234228</v>
      </c>
    </row>
    <row r="10" customFormat="false" ht="15" hidden="false" customHeight="false" outlineLevel="0" collapsed="false">
      <c r="B10" s="26" t="n">
        <v>0.05</v>
      </c>
      <c r="C10" s="22" t="n">
        <f aca="false">NPV(B10,Scenario1!$D$6:$H$6)+Scenario1!$C$6</f>
        <v>168958.701070321</v>
      </c>
    </row>
    <row r="11" customFormat="false" ht="15" hidden="false" customHeight="false" outlineLevel="0" collapsed="false">
      <c r="B11" s="26" t="n">
        <v>0.06</v>
      </c>
      <c r="C11" s="22" t="n">
        <f aca="false">NPV(B11,Scenario1!$D$6:$H$6)+Scenario1!$C$6</f>
        <v>137338.222102743</v>
      </c>
    </row>
    <row r="12" customFormat="false" ht="15" hidden="false" customHeight="false" outlineLevel="0" collapsed="false">
      <c r="B12" s="26" t="n">
        <v>0.07</v>
      </c>
      <c r="C12" s="22" t="n">
        <f aca="false">NPV(B12,Scenario1!$D$6:$H$6)+Scenario1!$C$6</f>
        <v>107053.30770585</v>
      </c>
    </row>
    <row r="13" customFormat="false" ht="15" hidden="false" customHeight="false" outlineLevel="0" collapsed="false">
      <c r="B13" s="26" t="n">
        <v>0.08</v>
      </c>
      <c r="C13" s="22" t="n">
        <f aca="false">NPV(B13,Scenario1!$D$6:$H$6)+Scenario1!$C$6</f>
        <v>78031.7100110829</v>
      </c>
    </row>
    <row r="14" customFormat="false" ht="15" hidden="false" customHeight="false" outlineLevel="0" collapsed="false">
      <c r="B14" s="26" t="n">
        <v>0.09</v>
      </c>
      <c r="C14" s="22" t="n">
        <f aca="false">NPV(B14,Scenario1!$D$6:$H$6)+Scenario1!$C$6</f>
        <v>50205.8411049633</v>
      </c>
    </row>
    <row r="15" customFormat="false" ht="15" hidden="false" customHeight="false" outlineLevel="0" collapsed="false">
      <c r="B15" s="26" t="n">
        <v>0.1</v>
      </c>
      <c r="C15" s="22" t="n">
        <f aca="false">NPV(B15,Scenario1!$D$6:$H$6)+Scenario1!$C$6</f>
        <v>23512.4277402808</v>
      </c>
    </row>
    <row r="16" customFormat="false" ht="15" hidden="false" customHeight="false" outlineLevel="0" collapsed="false">
      <c r="B16" s="26" t="n">
        <v>0.11</v>
      </c>
      <c r="C16" s="22" t="n">
        <f aca="false">NPV(B16,Scenario1!$D$6:$H$6)+Scenario1!$C$6</f>
        <v>-2107.80523464456</v>
      </c>
    </row>
    <row r="17" customFormat="false" ht="15" hidden="false" customHeight="false" outlineLevel="0" collapsed="false">
      <c r="B17" s="26" t="n">
        <v>0.12</v>
      </c>
      <c r="C17" s="22" t="n">
        <f aca="false">NPV(B17,Scenario1!$D$6:$H$6)+Scenario1!$C$6</f>
        <v>-26710.4253668489</v>
      </c>
    </row>
    <row r="18" customFormat="false" ht="15" hidden="false" customHeight="false" outlineLevel="0" collapsed="false">
      <c r="B18" s="26" t="n">
        <v>0.13</v>
      </c>
      <c r="C18" s="22" t="n">
        <f aca="false">NPV(B18,Scenario1!$D$6:$H$6)+Scenario1!$C$6</f>
        <v>-50347.5593834692</v>
      </c>
    </row>
    <row r="19" customFormat="false" ht="15" hidden="false" customHeight="false" outlineLevel="0" collapsed="false">
      <c r="B19" s="26" t="n">
        <v>0.14</v>
      </c>
      <c r="C19" s="22" t="n">
        <f aca="false">NPV(B19,Scenario1!$D$6:$H$6)+Scenario1!$C$6</f>
        <v>-73068.138408216</v>
      </c>
    </row>
    <row r="20" customFormat="false" ht="15" hidden="false" customHeight="false" outlineLevel="0" collapsed="false">
      <c r="B20" s="26" t="n">
        <v>0.15</v>
      </c>
      <c r="C20" s="22" t="n">
        <f aca="false">NPV(B20,Scenario1!$D$6:$H$6)+Scenario1!$C$6</f>
        <v>-94918.1235369213</v>
      </c>
    </row>
    <row r="21" customFormat="false" ht="15" hidden="false" customHeight="false" outlineLevel="0" collapsed="false">
      <c r="B21" s="26" t="n">
        <v>0.16</v>
      </c>
      <c r="C21" s="22" t="n">
        <f aca="false">NPV(B21,Scenario1!$D$6:$H$6)+Scenario1!$C$6</f>
        <v>-115940.713511466</v>
      </c>
    </row>
    <row r="22" customFormat="false" ht="15" hidden="false" customHeight="false" outlineLevel="0" collapsed="false">
      <c r="B22" s="26" t="n">
        <v>0.17</v>
      </c>
      <c r="C22" s="22" t="n">
        <f aca="false">NPV(B22,Scenario1!$D$6:$H$6)+Scenario1!$C$6</f>
        <v>-136176.536063112</v>
      </c>
    </row>
    <row r="23" customFormat="false" ht="15" hidden="false" customHeight="false" outlineLevel="0" collapsed="false">
      <c r="B23" s="26" t="n">
        <v>0.18</v>
      </c>
      <c r="C23" s="22" t="n">
        <f aca="false">NPV(B23,Scenario1!$D$6:$H$6)+Scenario1!$C$6</f>
        <v>-155663.824345688</v>
      </c>
    </row>
    <row r="24" customFormat="false" ht="15" hidden="false" customHeight="false" outlineLevel="0" collapsed="false">
      <c r="B24" s="26" t="n">
        <v>0.19</v>
      </c>
      <c r="C24" s="22" t="n">
        <f aca="false">NPV(B24,Scenario1!$D$6:$H$6)+Scenario1!$C$6</f>
        <v>-174438.579744062</v>
      </c>
    </row>
    <row r="25" customFormat="false" ht="15" hidden="false" customHeight="false" outlineLevel="0" collapsed="false">
      <c r="B25" s="26" t="n">
        <v>0.2</v>
      </c>
      <c r="C25" s="22" t="n">
        <f aca="false">NPV(B25,Scenario1!$D$6:$H$6)+Scenario1!$C$6</f>
        <v>-192534.722222222</v>
      </c>
    </row>
    <row r="26" customFormat="false" ht="15" hidden="false" customHeight="false" outlineLevel="0" collapsed="false">
      <c r="B26" s="26" t="n">
        <v>0.21</v>
      </c>
      <c r="C26" s="22" t="n">
        <f aca="false">NPV(B26,Scenario1!$D$6:$H$6)+Scenario1!$C$6</f>
        <v>-209984.229266541</v>
      </c>
    </row>
    <row r="27" customFormat="false" ht="15" hidden="false" customHeight="false" outlineLevel="0" collapsed="false">
      <c r="B27" s="26" t="n">
        <v>0.22</v>
      </c>
      <c r="C27" s="22" t="n">
        <f aca="false">NPV(B27,Scenario1!$D$6:$H$6)+Scenario1!$C$6</f>
        <v>-226817.264382028</v>
      </c>
    </row>
    <row r="28" customFormat="false" ht="15" hidden="false" customHeight="false" outlineLevel="0" collapsed="false">
      <c r="B28" s="26" t="n">
        <v>0.23</v>
      </c>
      <c r="C28" s="22" t="n">
        <f aca="false">NPV(B28,Scenario1!$D$6:$H$6)+Scenario1!$C$6</f>
        <v>-243062.296011434</v>
      </c>
    </row>
    <row r="29" customFormat="false" ht="15" hidden="false" customHeight="false" outlineLevel="0" collapsed="false">
      <c r="B29" s="26" t="n">
        <v>0.24</v>
      </c>
      <c r="C29" s="22" t="n">
        <f aca="false">NPV(B29,Scenario1!$D$6:$H$6)+Scenario1!$C$6</f>
        <v>-258746.207667842</v>
      </c>
    </row>
    <row r="30" customFormat="false" ht="15" hidden="false" customHeight="false" outlineLevel="0" collapsed="false">
      <c r="B30" s="26" t="n">
        <v>0.25</v>
      </c>
      <c r="C30" s="22" t="n">
        <f aca="false">NPV(B30,Scenario1!$D$6:$H$6)+Scenario1!$C$6</f>
        <v>-273894.4</v>
      </c>
    </row>
    <row r="33" customFormat="false" ht="15" hidden="false" customHeight="false" outlineLevel="0" collapsed="false">
      <c r="B33" s="9" t="s">
        <v>153</v>
      </c>
    </row>
    <row r="34" customFormat="false" ht="15" hidden="false" customHeight="false" outlineLevel="0" collapsed="false">
      <c r="B34" s="12" t="s">
        <v>154</v>
      </c>
    </row>
    <row r="36" customFormat="false" ht="15" hidden="false" customHeight="false" outlineLevel="0" collapsed="false">
      <c r="B36" s="27" t="s">
        <v>155</v>
      </c>
      <c r="C36" s="28" t="n">
        <v>0.02</v>
      </c>
      <c r="D36" s="28" t="n">
        <v>0.04</v>
      </c>
      <c r="E36" s="28" t="n">
        <v>0.06</v>
      </c>
      <c r="F36" s="28" t="n">
        <v>0.08</v>
      </c>
      <c r="G36" s="28" t="n">
        <v>0.1</v>
      </c>
      <c r="H36" s="28" t="n">
        <v>0.12</v>
      </c>
      <c r="I36" s="28" t="n">
        <v>0.14</v>
      </c>
      <c r="J36" s="28" t="n">
        <v>0.16</v>
      </c>
      <c r="K36" s="28" t="n">
        <v>0.18</v>
      </c>
      <c r="L36" s="28" t="n">
        <v>0.2</v>
      </c>
      <c r="M36" s="28" t="n">
        <v>0.22</v>
      </c>
      <c r="N36" s="28" t="n">
        <v>0.24</v>
      </c>
    </row>
    <row r="37" customFormat="false" ht="15" hidden="false" customHeight="false" outlineLevel="0" collapsed="false">
      <c r="B37" s="29" t="n">
        <v>340000</v>
      </c>
      <c r="C37" s="30" t="n">
        <f aca="false">-PV(C$36,5,$B37)-Inputs!$C$5</f>
        <v>602576.232891431</v>
      </c>
      <c r="D37" s="30" t="n">
        <f aca="false">-PV(D$36,5,$B37)-Inputs!$C$5</f>
        <v>513619.592545511</v>
      </c>
      <c r="E37" s="30" t="n">
        <f aca="false">-PV(E$36,5,$B37)-Inputs!$C$5</f>
        <v>432203.687092344</v>
      </c>
      <c r="F37" s="30" t="n">
        <f aca="false">-PV(F$36,5,$B37)-Inputs!$C$5</f>
        <v>357521.41260655</v>
      </c>
      <c r="G37" s="30" t="n">
        <f aca="false">-PV(G$36,5,$B37)-Inputs!$C$5</f>
        <v>288867.501598873</v>
      </c>
      <c r="H37" s="30" t="n">
        <f aca="false">-PV(H$36,5,$B37)-Inputs!$C$5</f>
        <v>225623.908797303</v>
      </c>
      <c r="I37" s="30" t="n">
        <f aca="false">-PV(I$36,5,$B37)-Inputs!$C$5</f>
        <v>167247.529411877</v>
      </c>
      <c r="J37" s="30" t="n">
        <f aca="false">-PV(J$36,5,$B37)-Inputs!$C$5</f>
        <v>113259.84224482</v>
      </c>
      <c r="K37" s="30" t="n">
        <f aca="false">-PV(K$36,5,$B37)-Inputs!$C$5</f>
        <v>63238.1471202448</v>
      </c>
      <c r="L37" s="30" t="n">
        <f aca="false">-PV(L$36,5,$B37)-Inputs!$C$5</f>
        <v>16808.1275720164</v>
      </c>
      <c r="M37" s="30" t="n">
        <f aca="false">-PV(M$36,5,$B37)-Inputs!$C$5</f>
        <v>-26362.4810736653</v>
      </c>
      <c r="N37" s="30" t="n">
        <f aca="false">-PV(N$36,5,$B37)-Inputs!$C$5</f>
        <v>-66569.2985446896</v>
      </c>
    </row>
    <row r="38" customFormat="false" ht="15" hidden="false" customHeight="false" outlineLevel="0" collapsed="false">
      <c r="B38" s="29" t="n">
        <v>320000</v>
      </c>
      <c r="C38" s="30" t="n">
        <f aca="false">-PV(C$36,5,$B38)-Inputs!$C$5</f>
        <v>508307.042721347</v>
      </c>
      <c r="D38" s="30" t="n">
        <f aca="false">-PV(D$36,5,$B38)-Inputs!$C$5</f>
        <v>424583.145925187</v>
      </c>
      <c r="E38" s="30" t="n">
        <f aca="false">-PV(E$36,5,$B38)-Inputs!$C$5</f>
        <v>347956.411381029</v>
      </c>
      <c r="F38" s="30" t="n">
        <f aca="false">-PV(F$36,5,$B38)-Inputs!$C$5</f>
        <v>277667.211864988</v>
      </c>
      <c r="G38" s="30" t="n">
        <f aca="false">-PV(G$36,5,$B38)-Inputs!$C$5</f>
        <v>213051.766210704</v>
      </c>
      <c r="H38" s="30" t="n">
        <f aca="false">-PV(H$36,5,$B38)-Inputs!$C$5</f>
        <v>153528.384750403</v>
      </c>
      <c r="I38" s="30" t="n">
        <f aca="false">-PV(I$36,5,$B38)-Inputs!$C$5</f>
        <v>98585.910034708</v>
      </c>
      <c r="J38" s="30" t="n">
        <f aca="false">-PV(J$36,5,$B38)-Inputs!$C$5</f>
        <v>47773.9691715951</v>
      </c>
      <c r="K38" s="30" t="n">
        <f aca="false">-PV(K$36,5,$B38)-Inputs!$C$5</f>
        <v>694.726701406995</v>
      </c>
      <c r="L38" s="30" t="n">
        <f aca="false">-PV(L$36,5,$B38)-Inputs!$C$5</f>
        <v>-43004.1152263375</v>
      </c>
      <c r="M38" s="30" t="n">
        <f aca="false">-PV(M$36,5,$B38)-Inputs!$C$5</f>
        <v>-83635.276304626</v>
      </c>
      <c r="N38" s="30" t="n">
        <f aca="false">-PV(N$36,5,$B38)-Inputs!$C$5</f>
        <v>-121476.98686559</v>
      </c>
    </row>
    <row r="39" customFormat="false" ht="15" hidden="false" customHeight="false" outlineLevel="0" collapsed="false">
      <c r="B39" s="29" t="n">
        <v>300000</v>
      </c>
      <c r="C39" s="30" t="n">
        <f aca="false">-PV(C$36,5,$B39)-Inputs!$C$5</f>
        <v>414037.852551263</v>
      </c>
      <c r="D39" s="30" t="n">
        <f aca="false">-PV(D$36,5,$B39)-Inputs!$C$5</f>
        <v>335546.699304862</v>
      </c>
      <c r="E39" s="30" t="n">
        <f aca="false">-PV(E$36,5,$B39)-Inputs!$C$5</f>
        <v>263709.135669715</v>
      </c>
      <c r="F39" s="30" t="n">
        <f aca="false">-PV(F$36,5,$B39)-Inputs!$C$5</f>
        <v>197813.011123427</v>
      </c>
      <c r="G39" s="30" t="n">
        <f aca="false">-PV(G$36,5,$B39)-Inputs!$C$5</f>
        <v>137236.030822535</v>
      </c>
      <c r="H39" s="30" t="n">
        <f aca="false">-PV(H$36,5,$B39)-Inputs!$C$5</f>
        <v>81432.8607035023</v>
      </c>
      <c r="I39" s="30" t="n">
        <f aca="false">-PV(I$36,5,$B39)-Inputs!$C$5</f>
        <v>29924.2906575388</v>
      </c>
      <c r="J39" s="30" t="n">
        <f aca="false">-PV(J$36,5,$B39)-Inputs!$C$5</f>
        <v>-17711.9039016296</v>
      </c>
      <c r="K39" s="30" t="n">
        <f aca="false">-PV(K$36,5,$B39)-Inputs!$C$5</f>
        <v>-61848.6937174309</v>
      </c>
      <c r="L39" s="30" t="n">
        <f aca="false">-PV(L$36,5,$B39)-Inputs!$C$5</f>
        <v>-102816.358024691</v>
      </c>
      <c r="M39" s="30" t="n">
        <f aca="false">-PV(M$36,5,$B39)-Inputs!$C$5</f>
        <v>-140908.071535587</v>
      </c>
      <c r="N39" s="30" t="n">
        <f aca="false">-PV(N$36,5,$B39)-Inputs!$C$5</f>
        <v>-176384.675186491</v>
      </c>
    </row>
    <row r="40" customFormat="false" ht="15" hidden="false" customHeight="false" outlineLevel="0" collapsed="false">
      <c r="B40" s="29" t="n">
        <v>280000</v>
      </c>
      <c r="C40" s="30" t="n">
        <f aca="false">-PV(C$36,5,$B40)-Inputs!$C$5</f>
        <v>319768.662381178</v>
      </c>
      <c r="D40" s="30" t="n">
        <f aca="false">-PV(D$36,5,$B40)-Inputs!$C$5</f>
        <v>246510.252684539</v>
      </c>
      <c r="E40" s="30" t="n">
        <f aca="false">-PV(E$36,5,$B40)-Inputs!$C$5</f>
        <v>179461.859958401</v>
      </c>
      <c r="F40" s="30" t="n">
        <f aca="false">-PV(F$36,5,$B40)-Inputs!$C$5</f>
        <v>117958.810381865</v>
      </c>
      <c r="G40" s="30" t="n">
        <f aca="false">-PV(G$36,5,$B40)-Inputs!$C$5</f>
        <v>61420.2954343662</v>
      </c>
      <c r="H40" s="30" t="n">
        <f aca="false">-PV(H$36,5,$B40)-Inputs!$C$5</f>
        <v>9337.33665660222</v>
      </c>
      <c r="I40" s="30" t="n">
        <f aca="false">-PV(I$36,5,$B40)-Inputs!$C$5</f>
        <v>-38737.3287196305</v>
      </c>
      <c r="J40" s="30" t="n">
        <f aca="false">-PV(J$36,5,$B40)-Inputs!$C$5</f>
        <v>-83197.7769748544</v>
      </c>
      <c r="K40" s="30" t="n">
        <f aca="false">-PV(K$36,5,$B40)-Inputs!$C$5</f>
        <v>-124392.114136269</v>
      </c>
      <c r="L40" s="30" t="n">
        <f aca="false">-PV(L$36,5,$B40)-Inputs!$C$5</f>
        <v>-162628.600823045</v>
      </c>
      <c r="M40" s="30" t="n">
        <f aca="false">-PV(M$36,5,$B40)-Inputs!$C$5</f>
        <v>-198180.866766548</v>
      </c>
      <c r="N40" s="30" t="n">
        <f aca="false">-PV(N$36,5,$B40)-Inputs!$C$5</f>
        <v>-231292.363507391</v>
      </c>
    </row>
    <row r="41" customFormat="false" ht="15" hidden="false" customHeight="false" outlineLevel="0" collapsed="false">
      <c r="B41" s="29" t="n">
        <v>260000</v>
      </c>
      <c r="C41" s="30" t="n">
        <f aca="false">-PV(C$36,5,$B41)-Inputs!$C$5</f>
        <v>225499.472211094</v>
      </c>
      <c r="D41" s="30" t="n">
        <f aca="false">-PV(D$36,5,$B41)-Inputs!$C$5</f>
        <v>157473.806064214</v>
      </c>
      <c r="E41" s="30" t="n">
        <f aca="false">-PV(E$36,5,$B41)-Inputs!$C$5</f>
        <v>95214.5842470864</v>
      </c>
      <c r="F41" s="30" t="n">
        <f aca="false">-PV(F$36,5,$B41)-Inputs!$C$5</f>
        <v>38104.609640303</v>
      </c>
      <c r="G41" s="30" t="n">
        <f aca="false">-PV(G$36,5,$B41)-Inputs!$C$5</f>
        <v>-14395.4399538029</v>
      </c>
      <c r="H41" s="30" t="n">
        <f aca="false">-PV(H$36,5,$B41)-Inputs!$C$5</f>
        <v>-62758.1873902979</v>
      </c>
      <c r="I41" s="30" t="n">
        <f aca="false">-PV(I$36,5,$B41)-Inputs!$C$5</f>
        <v>-107398.9480968</v>
      </c>
      <c r="J41" s="30" t="n">
        <f aca="false">-PV(J$36,5,$B41)-Inputs!$C$5</f>
        <v>-148683.650048079</v>
      </c>
      <c r="K41" s="30" t="n">
        <f aca="false">-PV(K$36,5,$B41)-Inputs!$C$5</f>
        <v>-186935.534555107</v>
      </c>
      <c r="L41" s="30" t="n">
        <f aca="false">-PV(L$36,5,$B41)-Inputs!$C$5</f>
        <v>-222440.843621399</v>
      </c>
      <c r="M41" s="30" t="n">
        <f aca="false">-PV(M$36,5,$B41)-Inputs!$C$5</f>
        <v>-255453.661997509</v>
      </c>
      <c r="N41" s="30" t="n">
        <f aca="false">-PV(N$36,5,$B41)-Inputs!$C$5</f>
        <v>-286200.051828292</v>
      </c>
    </row>
    <row r="42" customFormat="false" ht="15" hidden="false" customHeight="false" outlineLevel="0" collapsed="false">
      <c r="B42" s="29" t="n">
        <v>240000</v>
      </c>
      <c r="C42" s="30" t="n">
        <f aca="false">-PV(C$36,5,$B42)-Inputs!$C$5</f>
        <v>131230.28204101</v>
      </c>
      <c r="D42" s="30" t="n">
        <f aca="false">-PV(D$36,5,$B42)-Inputs!$C$5</f>
        <v>68437.3594438902</v>
      </c>
      <c r="E42" s="30" t="n">
        <f aca="false">-PV(E$36,5,$B42)-Inputs!$C$5</f>
        <v>10967.308535772</v>
      </c>
      <c r="F42" s="30" t="n">
        <f aca="false">-PV(F$36,5,$B42)-Inputs!$C$5</f>
        <v>-41749.5911012588</v>
      </c>
      <c r="G42" s="30" t="n">
        <f aca="false">-PV(G$36,5,$B42)-Inputs!$C$5</f>
        <v>-90211.1753419719</v>
      </c>
      <c r="H42" s="30" t="n">
        <f aca="false">-PV(H$36,5,$B42)-Inputs!$C$5</f>
        <v>-134853.711437198</v>
      </c>
      <c r="I42" s="30" t="n">
        <f aca="false">-PV(I$36,5,$B42)-Inputs!$C$5</f>
        <v>-176060.567473969</v>
      </c>
      <c r="J42" s="30" t="n">
        <f aca="false">-PV(J$36,5,$B42)-Inputs!$C$5</f>
        <v>-214169.523121304</v>
      </c>
      <c r="K42" s="30" t="n">
        <f aca="false">-PV(K$36,5,$B42)-Inputs!$C$5</f>
        <v>-249478.954973945</v>
      </c>
      <c r="L42" s="30" t="n">
        <f aca="false">-PV(L$36,5,$B42)-Inputs!$C$5</f>
        <v>-282253.086419753</v>
      </c>
      <c r="M42" s="30" t="n">
        <f aca="false">-PV(M$36,5,$B42)-Inputs!$C$5</f>
        <v>-312726.45722847</v>
      </c>
      <c r="N42" s="30" t="n">
        <f aca="false">-PV(N$36,5,$B42)-Inputs!$C$5</f>
        <v>-341107.740149193</v>
      </c>
    </row>
    <row r="43" customFormat="false" ht="15" hidden="false" customHeight="false" outlineLevel="0" collapsed="false">
      <c r="B43" s="29" t="n">
        <v>220000</v>
      </c>
      <c r="C43" s="30" t="n">
        <f aca="false">-PV(C$36,5,$B43)-Inputs!$C$5</f>
        <v>36961.0918709259</v>
      </c>
      <c r="D43" s="30" t="n">
        <f aca="false">-PV(D$36,5,$B43)-Inputs!$C$5</f>
        <v>-20599.0871764341</v>
      </c>
      <c r="E43" s="30" t="n">
        <f aca="false">-PV(E$36,5,$B43)-Inputs!$C$5</f>
        <v>-73279.9671755423</v>
      </c>
      <c r="F43" s="30" t="n">
        <f aca="false">-PV(F$36,5,$B43)-Inputs!$C$5</f>
        <v>-121603.79184282</v>
      </c>
      <c r="G43" s="30" t="n">
        <f aca="false">-PV(G$36,5,$B43)-Inputs!$C$5</f>
        <v>-166026.910730141</v>
      </c>
      <c r="H43" s="30" t="n">
        <f aca="false">-PV(H$36,5,$B43)-Inputs!$C$5</f>
        <v>-206949.235484098</v>
      </c>
      <c r="I43" s="30" t="n">
        <f aca="false">-PV(I$36,5,$B43)-Inputs!$C$5</f>
        <v>-244722.186851138</v>
      </c>
      <c r="J43" s="30" t="n">
        <f aca="false">-PV(J$36,5,$B43)-Inputs!$C$5</f>
        <v>-279655.396194528</v>
      </c>
      <c r="K43" s="30" t="n">
        <f aca="false">-PV(K$36,5,$B43)-Inputs!$C$5</f>
        <v>-312022.375392783</v>
      </c>
      <c r="L43" s="30" t="n">
        <f aca="false">-PV(L$36,5,$B43)-Inputs!$C$5</f>
        <v>-342065.329218107</v>
      </c>
      <c r="M43" s="30" t="n">
        <f aca="false">-PV(M$36,5,$B43)-Inputs!$C$5</f>
        <v>-369999.25245943</v>
      </c>
      <c r="N43" s="30" t="n">
        <f aca="false">-PV(N$36,5,$B43)-Inputs!$C$5</f>
        <v>-396015.428470093</v>
      </c>
    </row>
    <row r="44" customFormat="false" ht="15" hidden="false" customHeight="false" outlineLevel="0" collapsed="false">
      <c r="B44" s="29" t="n">
        <v>200000</v>
      </c>
      <c r="C44" s="30" t="n">
        <f aca="false">-PV(C$36,5,$B44)-Inputs!$C$5</f>
        <v>-57308.0982991584</v>
      </c>
      <c r="D44" s="30" t="n">
        <f aca="false">-PV(D$36,5,$B44)-Inputs!$C$5</f>
        <v>-109635.533796758</v>
      </c>
      <c r="E44" s="30" t="n">
        <f aca="false">-PV(E$36,5,$B44)-Inputs!$C$5</f>
        <v>-157527.242886857</v>
      </c>
      <c r="F44" s="30" t="n">
        <f aca="false">-PV(F$36,5,$B44)-Inputs!$C$5</f>
        <v>-201457.992584382</v>
      </c>
      <c r="G44" s="30" t="n">
        <f aca="false">-PV(G$36,5,$B44)-Inputs!$C$5</f>
        <v>-241842.64611831</v>
      </c>
      <c r="H44" s="30" t="n">
        <f aca="false">-PV(H$36,5,$B44)-Inputs!$C$5</f>
        <v>-279044.759530999</v>
      </c>
      <c r="I44" s="30" t="n">
        <f aca="false">-PV(I$36,5,$B44)-Inputs!$C$5</f>
        <v>-313383.806228308</v>
      </c>
      <c r="J44" s="30" t="n">
        <f aca="false">-PV(J$36,5,$B44)-Inputs!$C$5</f>
        <v>-345141.269267753</v>
      </c>
      <c r="K44" s="30" t="n">
        <f aca="false">-PV(K$36,5,$B44)-Inputs!$C$5</f>
        <v>-374565.795811621</v>
      </c>
      <c r="L44" s="30" t="n">
        <f aca="false">-PV(L$36,5,$B44)-Inputs!$C$5</f>
        <v>-401877.572016461</v>
      </c>
      <c r="M44" s="30" t="n">
        <f aca="false">-PV(M$36,5,$B44)-Inputs!$C$5</f>
        <v>-427272.047690391</v>
      </c>
      <c r="N44" s="30" t="n">
        <f aca="false">-PV(N$36,5,$B44)-Inputs!$C$5</f>
        <v>-450923.116790994</v>
      </c>
    </row>
    <row r="46" customFormat="false" ht="15" hidden="false" customHeight="false" outlineLevel="0" collapsed="false">
      <c r="B46" s="12" t="s">
        <v>156</v>
      </c>
    </row>
  </sheetData>
  <conditionalFormatting sqref="C37:N44">
    <cfRule type="colorScale" priority="2">
      <colorScale>
        <cfvo type="min" val="0"/>
        <cfvo type="num" val="0"/>
        <cfvo type="max" val="0"/>
        <color rgb="FFE34948"/>
        <color rgb="FFF7F7F7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14" min="6" style="0" width="9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B4" s="14" t="s">
        <v>118</v>
      </c>
      <c r="C4" s="14" t="s">
        <v>119</v>
      </c>
      <c r="D4" s="14" t="s">
        <v>120</v>
      </c>
      <c r="E4" s="14" t="s">
        <v>121</v>
      </c>
      <c r="F4" s="14" t="s">
        <v>122</v>
      </c>
      <c r="G4" s="14" t="s">
        <v>123</v>
      </c>
      <c r="H4" s="14" t="s">
        <v>124</v>
      </c>
      <c r="I4" s="14" t="s">
        <v>159</v>
      </c>
      <c r="J4" s="14" t="s">
        <v>160</v>
      </c>
      <c r="K4" s="14" t="s">
        <v>161</v>
      </c>
      <c r="L4" s="14" t="s">
        <v>162</v>
      </c>
      <c r="M4" s="14" t="s">
        <v>163</v>
      </c>
    </row>
    <row r="5" customFormat="false" ht="15" hidden="false" customHeight="false" outlineLevel="0" collapsed="false">
      <c r="B5" s="10" t="s">
        <v>164</v>
      </c>
      <c r="C5" s="22" t="n">
        <f aca="false">-Inputs!C17</f>
        <v>-100000</v>
      </c>
      <c r="D5" s="22" t="n">
        <f aca="false">Inputs!$C$18</f>
        <v>50000</v>
      </c>
      <c r="E5" s="22" t="n">
        <f aca="false">Inputs!$C$18</f>
        <v>50000</v>
      </c>
      <c r="F5" s="22" t="n">
        <f aca="false">Inputs!$C$18</f>
        <v>50000</v>
      </c>
      <c r="G5" s="22" t="n">
        <f aca="false">Inputs!$C$18</f>
        <v>50000</v>
      </c>
      <c r="H5" s="22" t="n">
        <f aca="false">Inputs!$C$18</f>
        <v>50000</v>
      </c>
      <c r="I5" s="22" t="n">
        <f aca="false">Inputs!$C$18</f>
        <v>50000</v>
      </c>
      <c r="J5" s="22" t="n">
        <f aca="false">Inputs!$C$18</f>
        <v>50000</v>
      </c>
      <c r="K5" s="22" t="n">
        <f aca="false">Inputs!$C$18</f>
        <v>50000</v>
      </c>
      <c r="L5" s="22" t="n">
        <f aca="false">Inputs!$C$18</f>
        <v>50000</v>
      </c>
      <c r="M5" s="22" t="n">
        <f aca="false">Inputs!$C$18</f>
        <v>50000</v>
      </c>
    </row>
    <row r="6" customFormat="false" ht="15" hidden="false" customHeight="false" outlineLevel="0" collapsed="false">
      <c r="B6" s="10" t="s">
        <v>165</v>
      </c>
      <c r="C6" s="31" t="n">
        <f aca="false">-Inputs!C19</f>
        <v>-1</v>
      </c>
      <c r="D6" s="31" t="n">
        <f aca="false">Inputs!$C$20</f>
        <v>0.6</v>
      </c>
      <c r="E6" s="31" t="n">
        <f aca="false">Inputs!$C$20</f>
        <v>0.6</v>
      </c>
      <c r="F6" s="31" t="n">
        <f aca="false">Inputs!$C$20</f>
        <v>0.6</v>
      </c>
      <c r="G6" s="31" t="n">
        <f aca="false">Inputs!$C$20</f>
        <v>0.6</v>
      </c>
      <c r="H6" s="31" t="n">
        <f aca="false">Inputs!$C$20</f>
        <v>0.6</v>
      </c>
      <c r="I6" s="31" t="n">
        <f aca="false">Inputs!$C$20</f>
        <v>0.6</v>
      </c>
      <c r="J6" s="31" t="n">
        <f aca="false">Inputs!$C$20</f>
        <v>0.6</v>
      </c>
      <c r="K6" s="31" t="n">
        <f aca="false">Inputs!$C$20</f>
        <v>0.6</v>
      </c>
      <c r="L6" s="31" t="n">
        <f aca="false">Inputs!$C$20</f>
        <v>0.6</v>
      </c>
      <c r="M6" s="31" t="n">
        <f aca="false">Inputs!$C$20</f>
        <v>0.6</v>
      </c>
    </row>
    <row r="8" customFormat="false" ht="15" hidden="false" customHeight="false" outlineLevel="0" collapsed="false">
      <c r="B8" s="14" t="s">
        <v>166</v>
      </c>
      <c r="C8" s="14" t="s">
        <v>167</v>
      </c>
      <c r="D8" s="14" t="s">
        <v>168</v>
      </c>
      <c r="E8" s="14" t="s">
        <v>169</v>
      </c>
    </row>
    <row r="9" customFormat="false" ht="15" hidden="false" customHeight="false" outlineLevel="0" collapsed="false">
      <c r="B9" s="10" t="s">
        <v>137</v>
      </c>
      <c r="C9" s="26" t="n">
        <f aca="false">(SUM(D5:M5)+C5)/-C5</f>
        <v>4</v>
      </c>
      <c r="D9" s="26" t="n">
        <f aca="false">(SUM(D6:M6)+C6)/-C6</f>
        <v>5</v>
      </c>
      <c r="E9" s="10" t="str">
        <f aca="false">IF(C9&gt;D9,"Project A","Project B")</f>
        <v>Project B</v>
      </c>
    </row>
    <row r="10" customFormat="false" ht="15" hidden="false" customHeight="false" outlineLevel="0" collapsed="false">
      <c r="B10" s="10" t="s">
        <v>138</v>
      </c>
      <c r="C10" s="23" t="n">
        <f aca="false">-C5/D5</f>
        <v>2</v>
      </c>
      <c r="D10" s="23" t="n">
        <f aca="false">-C6/D6</f>
        <v>1.66666666666667</v>
      </c>
      <c r="E10" s="10" t="str">
        <f aca="false">IF(C10&lt;D10,"Project A","Project B")</f>
        <v>Project B</v>
      </c>
    </row>
    <row r="11" customFormat="false" ht="15" hidden="false" customHeight="false" outlineLevel="0" collapsed="false">
      <c r="B11" s="10" t="s">
        <v>140</v>
      </c>
      <c r="C11" s="32" t="n">
        <f aca="false">IRR(C5:M5)</f>
        <v>0.490777657401997</v>
      </c>
      <c r="D11" s="32" t="n">
        <f aca="false">IRR(C6:M6)</f>
        <v>0.594346409214622</v>
      </c>
      <c r="E11" s="10" t="str">
        <f aca="false">IF(C11&gt;D11,"Project A","Project B")</f>
        <v>Project B</v>
      </c>
    </row>
    <row r="12" customFormat="false" ht="15" hidden="false" customHeight="false" outlineLevel="0" collapsed="false">
      <c r="B12" s="10" t="s">
        <v>170</v>
      </c>
      <c r="C12" s="31" t="n">
        <f aca="false">NPV(Inputs!$C$16,D5:M5)+C5</f>
        <v>207228.355285234</v>
      </c>
      <c r="D12" s="31" t="n">
        <f aca="false">NPV(Inputs!$C$16,D6:M6)+C6</f>
        <v>2.68674026342281</v>
      </c>
      <c r="E12" s="10" t="str">
        <f aca="false">IF(C12&gt;D12,"Project A","Project B")</f>
        <v>Project A</v>
      </c>
    </row>
    <row r="13" customFormat="false" ht="15" hidden="false" customHeight="false" outlineLevel="0" collapsed="false">
      <c r="B13" s="10" t="s">
        <v>171</v>
      </c>
      <c r="C13" s="33" t="n">
        <f aca="false">C12-D12</f>
        <v>207225.668544971</v>
      </c>
    </row>
    <row r="14" customFormat="false" ht="15" hidden="false" customHeight="false" outlineLevel="0" collapsed="false">
      <c r="B14" s="12" t="s">
        <v>172</v>
      </c>
    </row>
    <row r="15" customFormat="false" ht="15" hidden="false" customHeight="false" outlineLevel="0" collapsed="false">
      <c r="B15" s="34" t="s">
        <v>173</v>
      </c>
    </row>
  </sheetData>
  <conditionalFormatting sqref="E9:E12">
    <cfRule type="cellIs" priority="2" operator="equal" aboveAverage="0" equalAverage="0" bottom="0" percent="0" rank="0" text="" dxfId="5">
      <formula>"Project B"</formula>
    </cfRule>
    <cfRule type="cellIs" priority="3" operator="equal" aboveAverage="0" equalAverage="0" bottom="0" percent="0" rank="0" text="" dxfId="7">
      <formula>"Project 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1" min="10" style="0" width="9"/>
    <col collapsed="false" customWidth="true" hidden="false" outlineLevel="0" max="14" min="12" style="0" width="13"/>
  </cols>
  <sheetData>
    <row r="1" customFormat="false" ht="19.7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5" customFormat="false" ht="30" hidden="false" customHeight="true" outlineLevel="0" collapsed="false">
      <c r="B5" s="14" t="s">
        <v>86</v>
      </c>
      <c r="C5" s="14" t="s">
        <v>87</v>
      </c>
      <c r="D5" s="14" t="s">
        <v>88</v>
      </c>
      <c r="E5" s="14" t="s">
        <v>89</v>
      </c>
      <c r="F5" s="14" t="s">
        <v>137</v>
      </c>
      <c r="G5" s="14" t="s">
        <v>138</v>
      </c>
      <c r="H5" s="14" t="s">
        <v>140</v>
      </c>
      <c r="I5" s="14" t="s">
        <v>141</v>
      </c>
      <c r="J5" s="14" t="s">
        <v>176</v>
      </c>
      <c r="K5" s="14" t="s">
        <v>177</v>
      </c>
      <c r="L5" s="14" t="s">
        <v>178</v>
      </c>
      <c r="M5" s="14" t="s">
        <v>179</v>
      </c>
      <c r="N5" s="14" t="s">
        <v>180</v>
      </c>
    </row>
    <row r="6" customFormat="false" ht="15" hidden="false" customHeight="false" outlineLevel="0" collapsed="false">
      <c r="B6" s="10" t="str">
        <f aca="false">Inputs!B28</f>
        <v>Automated chemistry analyzer</v>
      </c>
      <c r="C6" s="22" t="n">
        <f aca="false">Inputs!C28</f>
        <v>1000000</v>
      </c>
      <c r="D6" s="22" t="n">
        <f aca="false">Inputs!D28</f>
        <v>270000</v>
      </c>
      <c r="E6" s="35" t="n">
        <f aca="false">Inputs!E28</f>
        <v>5</v>
      </c>
      <c r="F6" s="26" t="n">
        <f aca="false">(D6*E6-C6)/C6</f>
        <v>0.35</v>
      </c>
      <c r="G6" s="23" t="n">
        <f aca="false">C6/D6</f>
        <v>3.7037037037037</v>
      </c>
      <c r="H6" s="32" t="n">
        <f aca="false">RATE(E6,D6,-C6)</f>
        <v>0.109161745234235</v>
      </c>
      <c r="I6" s="22" t="n">
        <f aca="false">PV(Inputs!$C$24,E6,-D6)-C6</f>
        <v>23512.4277402817</v>
      </c>
      <c r="J6" s="35" t="n">
        <f aca="false">RANK(F6,$F$6:$F$17,0)</f>
        <v>11</v>
      </c>
      <c r="K6" s="35" t="n">
        <f aca="false">RANK(I6,$I$6:$I$17,0)</f>
        <v>7</v>
      </c>
      <c r="L6" s="18" t="n">
        <v>0</v>
      </c>
      <c r="M6" s="35" t="n">
        <v>0</v>
      </c>
      <c r="N6" s="35" t="n">
        <v>0</v>
      </c>
    </row>
    <row r="7" customFormat="false" ht="15" hidden="false" customHeight="false" outlineLevel="0" collapsed="false">
      <c r="B7" s="10" t="str">
        <f aca="false">Inputs!B29</f>
        <v>Liquid-handling robot</v>
      </c>
      <c r="C7" s="22" t="n">
        <f aca="false">Inputs!C29</f>
        <v>250000</v>
      </c>
      <c r="D7" s="22" t="n">
        <f aca="false">Inputs!D29</f>
        <v>80000</v>
      </c>
      <c r="E7" s="35" t="n">
        <f aca="false">Inputs!E29</f>
        <v>5</v>
      </c>
      <c r="F7" s="26" t="n">
        <f aca="false">(D7*E7-C7)/C7</f>
        <v>0.6</v>
      </c>
      <c r="G7" s="23" t="n">
        <f aca="false">C7/D7</f>
        <v>3.125</v>
      </c>
      <c r="H7" s="32" t="n">
        <f aca="false">RATE(E7,D7,-C7)</f>
        <v>0.180306668930292</v>
      </c>
      <c r="I7" s="22" t="n">
        <f aca="false">PV(Inputs!$C$24,E7,-D7)-C7</f>
        <v>53262.941552676</v>
      </c>
      <c r="J7" s="35" t="n">
        <f aca="false">RANK(F7,$F$6:$F$17,0)</f>
        <v>9</v>
      </c>
      <c r="K7" s="35" t="n">
        <f aca="false">RANK(I7,$I$6:$I$17,0)</f>
        <v>5</v>
      </c>
      <c r="L7" s="18" t="n">
        <v>0</v>
      </c>
      <c r="M7" s="35" t="n">
        <v>0</v>
      </c>
      <c r="N7" s="35" t="n">
        <v>1</v>
      </c>
    </row>
    <row r="8" customFormat="false" ht="15" hidden="false" customHeight="false" outlineLevel="0" collapsed="false">
      <c r="B8" s="10" t="str">
        <f aca="false">Inputs!B30</f>
        <v>LIMS upgrade</v>
      </c>
      <c r="C8" s="22" t="n">
        <f aca="false">Inputs!C30</f>
        <v>400000</v>
      </c>
      <c r="D8" s="22" t="n">
        <f aca="false">Inputs!D30</f>
        <v>110000</v>
      </c>
      <c r="E8" s="35" t="n">
        <f aca="false">Inputs!E30</f>
        <v>7</v>
      </c>
      <c r="F8" s="26" t="n">
        <f aca="false">(D8*E8-C8)/C8</f>
        <v>0.925</v>
      </c>
      <c r="G8" s="23" t="n">
        <f aca="false">C8/D8</f>
        <v>3.63636363636364</v>
      </c>
      <c r="H8" s="32" t="n">
        <f aca="false">RATE(E8,D8,-C8)</f>
        <v>0.196808335988246</v>
      </c>
      <c r="I8" s="22" t="n">
        <f aca="false">PV(Inputs!$C$24,E8,-D8)-C8</f>
        <v>135526.069946223</v>
      </c>
      <c r="J8" s="35" t="n">
        <f aca="false">RANK(F8,$F$6:$F$17,0)</f>
        <v>5</v>
      </c>
      <c r="K8" s="35" t="n">
        <f aca="false">RANK(I8,$I$6:$I$17,0)</f>
        <v>2</v>
      </c>
      <c r="L8" s="18" t="n">
        <v>1</v>
      </c>
      <c r="M8" s="35" t="n">
        <v>1</v>
      </c>
      <c r="N8" s="35" t="n">
        <v>1</v>
      </c>
    </row>
    <row r="9" customFormat="false" ht="15" hidden="false" customHeight="false" outlineLevel="0" collapsed="false">
      <c r="B9" s="10" t="str">
        <f aca="false">Inputs!B31</f>
        <v>LC-MS/MS system</v>
      </c>
      <c r="C9" s="22" t="n">
        <f aca="false">Inputs!C31</f>
        <v>800000</v>
      </c>
      <c r="D9" s="22" t="n">
        <f aca="false">Inputs!D31</f>
        <v>190000</v>
      </c>
      <c r="E9" s="35" t="n">
        <f aca="false">Inputs!E31</f>
        <v>8</v>
      </c>
      <c r="F9" s="26" t="n">
        <f aca="false">(D9*E9-C9)/C9</f>
        <v>0.9</v>
      </c>
      <c r="G9" s="23" t="n">
        <f aca="false">C9/D9</f>
        <v>4.21052631578947</v>
      </c>
      <c r="H9" s="32" t="n">
        <f aca="false">RATE(E9,D9,-C9)</f>
        <v>0.169747126840486</v>
      </c>
      <c r="I9" s="22" t="n">
        <f aca="false">PV(Inputs!$C$24,E9,-D9)-C9</f>
        <v>213635.977601507</v>
      </c>
      <c r="J9" s="35" t="n">
        <f aca="false">RANK(F9,$F$6:$F$17,0)</f>
        <v>6</v>
      </c>
      <c r="K9" s="35" t="n">
        <f aca="false">RANK(I9,$I$6:$I$17,0)</f>
        <v>1</v>
      </c>
      <c r="L9" s="18" t="n">
        <v>1</v>
      </c>
      <c r="M9" s="35" t="n">
        <v>1</v>
      </c>
      <c r="N9" s="35" t="n">
        <v>1</v>
      </c>
    </row>
    <row r="10" customFormat="false" ht="15" hidden="false" customHeight="false" outlineLevel="0" collapsed="false">
      <c r="B10" s="10" t="str">
        <f aca="false">Inputs!B32</f>
        <v>Digital pathology scanner</v>
      </c>
      <c r="C10" s="22" t="n">
        <f aca="false">Inputs!C32</f>
        <v>350000</v>
      </c>
      <c r="D10" s="22" t="n">
        <f aca="false">Inputs!D32</f>
        <v>95000</v>
      </c>
      <c r="E10" s="35" t="n">
        <f aca="false">Inputs!E32</f>
        <v>6</v>
      </c>
      <c r="F10" s="26" t="n">
        <f aca="false">(D10*E10-C10)/C10</f>
        <v>0.628571428571429</v>
      </c>
      <c r="G10" s="23" t="n">
        <f aca="false">C10/D10</f>
        <v>3.68421052631579</v>
      </c>
      <c r="H10" s="32" t="n">
        <f aca="false">RATE(E10,D10,-C10)</f>
        <v>0.160053830878511</v>
      </c>
      <c r="I10" s="22" t="n">
        <f aca="false">PV(Inputs!$C$24,E10,-D10)-C10</f>
        <v>63749.7664489117</v>
      </c>
      <c r="J10" s="35" t="n">
        <f aca="false">RANK(F10,$F$6:$F$17,0)</f>
        <v>8</v>
      </c>
      <c r="K10" s="35" t="n">
        <f aca="false">RANK(I10,$I$6:$I$17,0)</f>
        <v>4</v>
      </c>
      <c r="L10" s="18" t="n">
        <v>0</v>
      </c>
      <c r="M10" s="35" t="n">
        <v>0</v>
      </c>
      <c r="N10" s="35" t="n">
        <v>1</v>
      </c>
    </row>
    <row r="11" customFormat="false" ht="15" hidden="false" customHeight="false" outlineLevel="0" collapsed="false">
      <c r="B11" s="10" t="str">
        <f aca="false">Inputs!B33</f>
        <v>Barcode label printers</v>
      </c>
      <c r="C11" s="22" t="n">
        <f aca="false">Inputs!C33</f>
        <v>15000</v>
      </c>
      <c r="D11" s="22" t="n">
        <f aca="false">Inputs!D33</f>
        <v>9000</v>
      </c>
      <c r="E11" s="35" t="n">
        <f aca="false">Inputs!E33</f>
        <v>4</v>
      </c>
      <c r="F11" s="26" t="n">
        <f aca="false">(D11*E11-C11)/C11</f>
        <v>1.4</v>
      </c>
      <c r="G11" s="23" t="n">
        <f aca="false">C11/D11</f>
        <v>1.66666666666667</v>
      </c>
      <c r="H11" s="32" t="n">
        <f aca="false">RATE(E11,D11,-C11)</f>
        <v>0.4723112082973</v>
      </c>
      <c r="I11" s="22" t="n">
        <f aca="false">PV(Inputs!$C$24,E11,-D11)-C11</f>
        <v>13528.7890171437</v>
      </c>
      <c r="J11" s="35" t="n">
        <f aca="false">RANK(F11,$F$6:$F$17,0)</f>
        <v>2</v>
      </c>
      <c r="K11" s="35" t="n">
        <f aca="false">RANK(I11,$I$6:$I$17,0)</f>
        <v>8</v>
      </c>
      <c r="L11" s="18" t="n">
        <v>1</v>
      </c>
      <c r="M11" s="35" t="n">
        <v>1</v>
      </c>
      <c r="N11" s="35" t="n">
        <v>1</v>
      </c>
    </row>
    <row r="12" customFormat="false" ht="15" hidden="false" customHeight="false" outlineLevel="0" collapsed="false">
      <c r="B12" s="10" t="str">
        <f aca="false">Inputs!B34</f>
        <v>Pipette calibration kit</v>
      </c>
      <c r="C12" s="22" t="n">
        <f aca="false">Inputs!C34</f>
        <v>5000</v>
      </c>
      <c r="D12" s="22" t="n">
        <f aca="false">Inputs!D34</f>
        <v>3500</v>
      </c>
      <c r="E12" s="35" t="n">
        <f aca="false">Inputs!E34</f>
        <v>3</v>
      </c>
      <c r="F12" s="26" t="n">
        <f aca="false">(D12*E12-C12)/C12</f>
        <v>1.1</v>
      </c>
      <c r="G12" s="23" t="n">
        <f aca="false">C12/D12</f>
        <v>1.42857142857143</v>
      </c>
      <c r="H12" s="32" t="n">
        <f aca="false">RATE(E12,D12,-C12)</f>
        <v>0.487184299908041</v>
      </c>
      <c r="I12" s="22" t="n">
        <f aca="false">PV(Inputs!$C$24,E12,-D12)-C12</f>
        <v>3703.98196844479</v>
      </c>
      <c r="J12" s="35" t="n">
        <f aca="false">RANK(F12,$F$6:$F$17,0)</f>
        <v>4</v>
      </c>
      <c r="K12" s="35" t="n">
        <f aca="false">RANK(I12,$I$6:$I$17,0)</f>
        <v>10</v>
      </c>
      <c r="L12" s="18" t="n">
        <v>1</v>
      </c>
      <c r="M12" s="35" t="n">
        <v>1</v>
      </c>
      <c r="N12" s="35" t="n">
        <v>1</v>
      </c>
    </row>
    <row r="13" customFormat="false" ht="15" hidden="false" customHeight="false" outlineLevel="0" collapsed="false">
      <c r="B13" s="10" t="str">
        <f aca="false">Inputs!B35</f>
        <v>-80°C freezer replacement</v>
      </c>
      <c r="C13" s="22" t="n">
        <f aca="false">Inputs!C35</f>
        <v>40000</v>
      </c>
      <c r="D13" s="22" t="n">
        <f aca="false">Inputs!D35</f>
        <v>12000</v>
      </c>
      <c r="E13" s="35" t="n">
        <f aca="false">Inputs!E35</f>
        <v>10</v>
      </c>
      <c r="F13" s="26" t="n">
        <f aca="false">(D13*E13-C13)/C13</f>
        <v>2</v>
      </c>
      <c r="G13" s="23" t="n">
        <f aca="false">C13/D13</f>
        <v>3.33333333333333</v>
      </c>
      <c r="H13" s="32" t="n">
        <f aca="false">RATE(E13,D13,-C13)</f>
        <v>0.273198424104987</v>
      </c>
      <c r="I13" s="22" t="n">
        <f aca="false">PV(Inputs!$C$24,E13,-D13)-C13</f>
        <v>33734.8052684562</v>
      </c>
      <c r="J13" s="35" t="n">
        <f aca="false">RANK(F13,$F$6:$F$17,0)</f>
        <v>1</v>
      </c>
      <c r="K13" s="35" t="n">
        <f aca="false">RANK(I13,$I$6:$I$17,0)</f>
        <v>6</v>
      </c>
      <c r="L13" s="18" t="n">
        <v>1</v>
      </c>
      <c r="M13" s="35" t="n">
        <v>1</v>
      </c>
      <c r="N13" s="35" t="n">
        <v>1</v>
      </c>
    </row>
    <row r="14" customFormat="false" ht="15" hidden="false" customHeight="false" outlineLevel="0" collapsed="false">
      <c r="B14" s="10" t="str">
        <f aca="false">Inputs!B36</f>
        <v>Automated sample storage</v>
      </c>
      <c r="C14" s="22" t="n">
        <f aca="false">Inputs!C36</f>
        <v>600000</v>
      </c>
      <c r="D14" s="22" t="n">
        <f aca="false">Inputs!D36</f>
        <v>75000</v>
      </c>
      <c r="E14" s="35" t="n">
        <f aca="false">Inputs!E36</f>
        <v>15</v>
      </c>
      <c r="F14" s="26" t="n">
        <f aca="false">(D14*E14-C14)/C14</f>
        <v>0.875</v>
      </c>
      <c r="G14" s="23" t="n">
        <f aca="false">C14/D14</f>
        <v>8</v>
      </c>
      <c r="H14" s="32" t="n">
        <f aca="false">RATE(E14,D14,-C14)</f>
        <v>0.0912829653036646</v>
      </c>
      <c r="I14" s="22" t="n">
        <f aca="false">PV(Inputs!$C$24,E14,-D14)-C14</f>
        <v>-29544.0370268726</v>
      </c>
      <c r="J14" s="35" t="n">
        <f aca="false">RANK(F14,$F$6:$F$17,0)</f>
        <v>7</v>
      </c>
      <c r="K14" s="35" t="n">
        <f aca="false">RANK(I14,$I$6:$I$17,0)</f>
        <v>12</v>
      </c>
      <c r="L14" s="18" t="n">
        <v>0</v>
      </c>
      <c r="M14" s="35" t="n">
        <v>0</v>
      </c>
      <c r="N14" s="35" t="n">
        <v>0</v>
      </c>
    </row>
    <row r="15" customFormat="false" ht="15" hidden="false" customHeight="false" outlineLevel="0" collapsed="false">
      <c r="B15" s="10" t="str">
        <f aca="false">Inputs!B37</f>
        <v>Next-gen sequencer</v>
      </c>
      <c r="C15" s="22" t="n">
        <f aca="false">Inputs!C37</f>
        <v>900000</v>
      </c>
      <c r="D15" s="22" t="n">
        <f aca="false">Inputs!D37</f>
        <v>230000</v>
      </c>
      <c r="E15" s="35" t="n">
        <f aca="false">Inputs!E37</f>
        <v>6</v>
      </c>
      <c r="F15" s="26" t="n">
        <f aca="false">(D15*E15-C15)/C15</f>
        <v>0.533333333333333</v>
      </c>
      <c r="G15" s="23" t="n">
        <f aca="false">C15/D15</f>
        <v>3.91304347826087</v>
      </c>
      <c r="H15" s="32" t="n">
        <f aca="false">RATE(E15,D15,-C15)</f>
        <v>0.137722424482013</v>
      </c>
      <c r="I15" s="22" t="n">
        <f aca="false">PV(Inputs!$C$24,E15,-D15)-C15</f>
        <v>101709.960876313</v>
      </c>
      <c r="J15" s="35" t="n">
        <f aca="false">RANK(F15,$F$6:$F$17,0)</f>
        <v>10</v>
      </c>
      <c r="K15" s="35" t="n">
        <f aca="false">RANK(I15,$I$6:$I$17,0)</f>
        <v>3</v>
      </c>
      <c r="L15" s="18" t="n">
        <v>0</v>
      </c>
      <c r="M15" s="35" t="n">
        <v>0</v>
      </c>
      <c r="N15" s="35" t="n">
        <v>0</v>
      </c>
    </row>
    <row r="16" customFormat="false" ht="15" hidden="false" customHeight="false" outlineLevel="0" collapsed="false">
      <c r="B16" s="10" t="str">
        <f aca="false">Inputs!B38</f>
        <v>Lab HVAC / fume hood upgrade</v>
      </c>
      <c r="C16" s="22" t="n">
        <f aca="false">Inputs!C38</f>
        <v>500000</v>
      </c>
      <c r="D16" s="22" t="n">
        <f aca="false">Inputs!D38</f>
        <v>60000</v>
      </c>
      <c r="E16" s="35" t="n">
        <f aca="false">Inputs!E38</f>
        <v>20</v>
      </c>
      <c r="F16" s="26" t="n">
        <f aca="false">(D16*E16-C16)/C16</f>
        <v>1.4</v>
      </c>
      <c r="G16" s="23" t="n">
        <f aca="false">C16/D16</f>
        <v>8.33333333333333</v>
      </c>
      <c r="H16" s="32" t="n">
        <f aca="false">RATE(E16,D16,-C16)</f>
        <v>0.103156146029332</v>
      </c>
      <c r="I16" s="22" t="n">
        <f aca="false">PV(Inputs!$C$24,E16,-D16)-C16</f>
        <v>10813.8231855139</v>
      </c>
      <c r="J16" s="35" t="n">
        <f aca="false">RANK(F16,$F$6:$F$17,0)</f>
        <v>2</v>
      </c>
      <c r="K16" s="35" t="n">
        <f aca="false">RANK(I16,$I$6:$I$17,0)</f>
        <v>9</v>
      </c>
      <c r="L16" s="18" t="n">
        <v>1</v>
      </c>
      <c r="M16" s="35" t="n">
        <v>1</v>
      </c>
      <c r="N16" s="35" t="n">
        <v>0</v>
      </c>
    </row>
    <row r="17" customFormat="false" ht="15" hidden="false" customHeight="false" outlineLevel="0" collapsed="false">
      <c r="B17" s="10" t="str">
        <f aca="false">Inputs!B39</f>
        <v>Benchtop qPCR</v>
      </c>
      <c r="C17" s="22" t="n">
        <f aca="false">Inputs!C39</f>
        <v>120000</v>
      </c>
      <c r="D17" s="22" t="n">
        <f aca="false">Inputs!D39</f>
        <v>30000</v>
      </c>
      <c r="E17" s="35" t="n">
        <f aca="false">Inputs!E39</f>
        <v>5</v>
      </c>
      <c r="F17" s="26" t="n">
        <f aca="false">(D17*E17-C17)/C17</f>
        <v>0.25</v>
      </c>
      <c r="G17" s="23" t="n">
        <f aca="false">C17/D17</f>
        <v>4</v>
      </c>
      <c r="H17" s="32" t="n">
        <f aca="false">RATE(E17,D17,-C17)</f>
        <v>0.0793082611605287</v>
      </c>
      <c r="I17" s="22" t="n">
        <f aca="false">PV(Inputs!$C$24,E17,-D17)-C17</f>
        <v>-6276.39691774649</v>
      </c>
      <c r="J17" s="35" t="n">
        <f aca="false">RANK(F17,$F$6:$F$17,0)</f>
        <v>12</v>
      </c>
      <c r="K17" s="35" t="n">
        <f aca="false">RANK(I17,$I$6:$I$17,0)</f>
        <v>11</v>
      </c>
      <c r="L17" s="18" t="n">
        <v>1</v>
      </c>
      <c r="M17" s="35" t="n">
        <v>1</v>
      </c>
      <c r="N17" s="35" t="n">
        <v>0</v>
      </c>
    </row>
    <row r="19" customFormat="false" ht="15" hidden="false" customHeight="false" outlineLevel="0" collapsed="false">
      <c r="B19" s="14" t="s">
        <v>181</v>
      </c>
      <c r="C19" s="14"/>
      <c r="D19" s="14"/>
      <c r="E19" s="14"/>
      <c r="F19" s="14"/>
      <c r="G19" s="14"/>
      <c r="H19" s="14"/>
      <c r="I19" s="14"/>
      <c r="J19" s="14"/>
      <c r="K19" s="14"/>
      <c r="L19" s="14" t="s">
        <v>182</v>
      </c>
      <c r="M19" s="14" t="s">
        <v>183</v>
      </c>
      <c r="N19" s="14" t="s">
        <v>184</v>
      </c>
    </row>
    <row r="20" customFormat="false" ht="15" hidden="false" customHeight="false" outlineLevel="0" collapsed="false">
      <c r="B20" s="10" t="s">
        <v>185</v>
      </c>
      <c r="L20" s="25" t="n">
        <f aca="false">SUMPRODUCT($C$6:$C$17,L6:L17)</f>
        <v>1880000</v>
      </c>
      <c r="M20" s="25" t="n">
        <f aca="false">SUMPRODUCT($C$6:$C$17,M6:M17)</f>
        <v>1880000</v>
      </c>
      <c r="N20" s="25" t="n">
        <f aca="false">SUMPRODUCT($C$6:$C$17,N6:N17)</f>
        <v>1860000</v>
      </c>
    </row>
    <row r="21" customFormat="false" ht="15" hidden="false" customHeight="false" outlineLevel="0" collapsed="false">
      <c r="B21" s="10" t="s">
        <v>186</v>
      </c>
      <c r="L21" s="25" t="n">
        <f aca="false">SUMPRODUCT($I$6:$I$17,L6:L17)</f>
        <v>404667.050069542</v>
      </c>
      <c r="M21" s="25" t="n">
        <f aca="false">SUMPRODUCT($I$6:$I$17,M6:M17)</f>
        <v>404667.050069542</v>
      </c>
      <c r="N21" s="25" t="n">
        <f aca="false">SUMPRODUCT($I$6:$I$17,N6:N17)</f>
        <v>517142.331803362</v>
      </c>
    </row>
    <row r="22" customFormat="false" ht="15" hidden="false" customHeight="false" outlineLevel="0" collapsed="false">
      <c r="B22" s="10" t="s">
        <v>187</v>
      </c>
      <c r="L22" s="25" t="n">
        <f aca="false">Inputs!$C$25-L20</f>
        <v>120000</v>
      </c>
      <c r="M22" s="25" t="n">
        <f aca="false">Inputs!$C$25-M20</f>
        <v>120000</v>
      </c>
      <c r="N22" s="25" t="n">
        <f aca="false">Inputs!$C$25-N20</f>
        <v>140000</v>
      </c>
    </row>
    <row r="23" customFormat="false" ht="15" hidden="false" customHeight="false" outlineLevel="0" collapsed="false">
      <c r="B23" s="10" t="s">
        <v>188</v>
      </c>
      <c r="L23" s="10" t="str">
        <f aca="false">IF(L20&gt;Inputs!$C$25,"OVER BUDGET","OK")</f>
        <v>OK</v>
      </c>
      <c r="M23" s="10" t="str">
        <f aca="false">IF(M20&gt;Inputs!$C$25,"OVER BUDGET","OK")</f>
        <v>OK</v>
      </c>
      <c r="N23" s="10" t="str">
        <f aca="false">IF(N20&gt;Inputs!$C$25,"OVER BUDGET","OK")</f>
        <v>OK</v>
      </c>
    </row>
    <row r="25" customFormat="false" ht="15" hidden="false" customHeight="false" outlineLevel="0" collapsed="false">
      <c r="B25" s="12" t="s">
        <v>189</v>
      </c>
    </row>
    <row r="26" customFormat="false" ht="15" hidden="false" customHeight="false" outlineLevel="0" collapsed="false">
      <c r="B26" s="12" t="s">
        <v>190</v>
      </c>
    </row>
    <row r="27" customFormat="false" ht="15" hidden="false" customHeight="false" outlineLevel="0" collapsed="false">
      <c r="B27" s="12" t="s">
        <v>191</v>
      </c>
    </row>
    <row r="28" customFormat="false" ht="15" hidden="false" customHeight="false" outlineLevel="0" collapsed="false">
      <c r="B28" s="12" t="s">
        <v>192</v>
      </c>
    </row>
  </sheetData>
  <conditionalFormatting sqref="I6:I17">
    <cfRule type="cellIs" priority="2" operator="lessThan" aboveAverage="0" equalAverage="0" bottom="0" percent="0" rank="0" text="" dxfId="6">
      <formula>0</formula>
    </cfRule>
    <cfRule type="colorScale" priority="3">
      <colorScale>
        <cfvo type="num" val="0"/>
        <cfvo type="max" val="0"/>
        <color rgb="FFFFFFFF"/>
        <color rgb="FF9EC5F4"/>
      </colorScale>
    </cfRule>
  </conditionalFormatting>
  <conditionalFormatting sqref="L23:N23">
    <cfRule type="cellIs" priority="4" operator="equal" aboveAverage="0" equalAverage="0" bottom="0" percent="0" rank="0" text="" dxfId="6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B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  <col collapsed="false" customWidth="true" hidden="false" outlineLevel="0" max="3" min="3" style="0" width="3"/>
  </cols>
  <sheetData>
    <row r="1" customFormat="false" ht="19.7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B4" s="36" t="s">
        <v>195</v>
      </c>
    </row>
    <row r="5" customFormat="false" ht="15" hidden="false" customHeight="false" outlineLevel="0" collapsed="false">
      <c r="B5" s="37" t="s">
        <v>196</v>
      </c>
    </row>
    <row r="6" customFormat="false" ht="30" hidden="false" customHeight="true" outlineLevel="0" collapsed="false">
      <c r="B6" s="38" t="s">
        <v>197</v>
      </c>
    </row>
    <row r="7" customFormat="false" ht="15" hidden="false" customHeight="false" outlineLevel="0" collapsed="false">
      <c r="B7" s="12" t="s">
        <v>198</v>
      </c>
    </row>
    <row r="8" customFormat="false" ht="15" hidden="false" customHeight="false" outlineLevel="0" collapsed="false">
      <c r="B8" s="39" t="s">
        <v>199</v>
      </c>
    </row>
    <row r="9" customFormat="false" ht="15" hidden="false" customHeight="false" outlineLevel="0" collapsed="false">
      <c r="B9" s="39" t="s">
        <v>200</v>
      </c>
    </row>
    <row r="10" customFormat="false" ht="15" hidden="false" customHeight="false" outlineLevel="0" collapsed="false">
      <c r="B10" s="39" t="s">
        <v>201</v>
      </c>
    </row>
    <row r="11" customFormat="false" ht="15" hidden="false" customHeight="false" outlineLevel="0" collapsed="false">
      <c r="B11" s="39"/>
    </row>
    <row r="12" customFormat="false" ht="15" hidden="false" customHeight="false" outlineLevel="0" collapsed="false">
      <c r="B12" s="40" t="s">
        <v>202</v>
      </c>
    </row>
    <row r="13" customFormat="false" ht="15" hidden="false" customHeight="false" outlineLevel="0" collapsed="false">
      <c r="B13" s="39" t="s">
        <v>203</v>
      </c>
    </row>
    <row r="14" customFormat="false" ht="15" hidden="false" customHeight="false" outlineLevel="0" collapsed="false">
      <c r="B14" s="39" t="s">
        <v>204</v>
      </c>
    </row>
    <row r="15" customFormat="false" ht="15" hidden="false" customHeight="false" outlineLevel="0" collapsed="false">
      <c r="B15" s="39" t="s">
        <v>205</v>
      </c>
    </row>
    <row r="16" customFormat="false" ht="15" hidden="false" customHeight="false" outlineLevel="0" collapsed="false">
      <c r="B16" s="39"/>
    </row>
    <row r="17" customFormat="false" ht="15" hidden="false" customHeight="false" outlineLevel="0" collapsed="false">
      <c r="B17" s="40" t="s">
        <v>206</v>
      </c>
    </row>
    <row r="18" customFormat="false" ht="15" hidden="false" customHeight="false" outlineLevel="0" collapsed="false">
      <c r="B18" s="39" t="s">
        <v>207</v>
      </c>
    </row>
    <row r="19" customFormat="false" ht="15" hidden="false" customHeight="false" outlineLevel="0" collapsed="false">
      <c r="B19" s="39" t="s">
        <v>208</v>
      </c>
    </row>
    <row r="20" customFormat="false" ht="15" hidden="false" customHeight="false" outlineLevel="0" collapsed="false">
      <c r="B20" s="39" t="s">
        <v>209</v>
      </c>
    </row>
    <row r="21" customFormat="false" ht="15" hidden="false" customHeight="false" outlineLevel="0" collapsed="false">
      <c r="B21" s="39" t="s">
        <v>210</v>
      </c>
    </row>
    <row r="22" customFormat="false" ht="15" hidden="false" customHeight="false" outlineLevel="0" collapsed="false">
      <c r="B22" s="39" t="s">
        <v>211</v>
      </c>
    </row>
    <row r="23" customFormat="false" ht="15" hidden="false" customHeight="false" outlineLevel="0" collapsed="false">
      <c r="B23" s="39" t="s">
        <v>212</v>
      </c>
    </row>
    <row r="24" customFormat="false" ht="15" hidden="false" customHeight="false" outlineLevel="0" collapsed="false">
      <c r="B24" s="39" t="s">
        <v>213</v>
      </c>
    </row>
    <row r="25" customFormat="false" ht="15" hidden="false" customHeight="false" outlineLevel="0" collapsed="false">
      <c r="B25" s="39" t="s">
        <v>214</v>
      </c>
    </row>
    <row r="26" customFormat="false" ht="15" hidden="false" customHeight="false" outlineLevel="0" collapsed="false">
      <c r="B26" s="39"/>
    </row>
    <row r="27" customFormat="false" ht="15" hidden="false" customHeight="false" outlineLevel="0" collapsed="false">
      <c r="B27" s="40" t="s">
        <v>215</v>
      </c>
    </row>
    <row r="28" customFormat="false" ht="15" hidden="false" customHeight="false" outlineLevel="0" collapsed="false">
      <c r="B28" s="39" t="s">
        <v>216</v>
      </c>
    </row>
    <row r="29" customFormat="false" ht="15" hidden="false" customHeight="false" outlineLevel="0" collapsed="false">
      <c r="B29" s="39" t="s">
        <v>217</v>
      </c>
    </row>
    <row r="30" customFormat="false" ht="15" hidden="false" customHeight="false" outlineLevel="0" collapsed="false">
      <c r="B30" s="39" t="s">
        <v>218</v>
      </c>
    </row>
    <row r="31" customFormat="false" ht="15" hidden="false" customHeight="false" outlineLevel="0" collapsed="false">
      <c r="B31" s="39" t="s">
        <v>219</v>
      </c>
    </row>
    <row r="32" customFormat="false" ht="15" hidden="false" customHeight="false" outlineLevel="0" collapsed="false">
      <c r="B32" s="39" t="s">
        <v>220</v>
      </c>
    </row>
    <row r="33" customFormat="false" ht="15" hidden="false" customHeight="false" outlineLevel="0" collapsed="false">
      <c r="B33" s="39" t="s">
        <v>221</v>
      </c>
    </row>
    <row r="34" customFormat="false" ht="15" hidden="false" customHeight="false" outlineLevel="0" collapsed="false">
      <c r="B34" s="39" t="s">
        <v>222</v>
      </c>
    </row>
    <row r="35" customFormat="false" ht="15" hidden="false" customHeight="false" outlineLevel="0" collapsed="false">
      <c r="B35" s="39" t="s">
        <v>223</v>
      </c>
    </row>
    <row r="36" customFormat="false" ht="15" hidden="false" customHeight="false" outlineLevel="0" collapsed="false">
      <c r="B36" s="39" t="s">
        <v>224</v>
      </c>
    </row>
    <row r="37" customFormat="false" ht="15" hidden="false" customHeight="false" outlineLevel="0" collapsed="false">
      <c r="B37" s="39"/>
    </row>
    <row r="38" customFormat="false" ht="15" hidden="false" customHeight="false" outlineLevel="0" collapsed="false">
      <c r="B38" s="39" t="s">
        <v>225</v>
      </c>
    </row>
    <row r="39" customFormat="false" ht="15" hidden="false" customHeight="false" outlineLevel="0" collapsed="false">
      <c r="B39" s="39" t="s">
        <v>226</v>
      </c>
    </row>
    <row r="42" customFormat="false" ht="15" hidden="false" customHeight="false" outlineLevel="0" collapsed="false">
      <c r="B42" s="36" t="s">
        <v>227</v>
      </c>
    </row>
    <row r="43" customFormat="false" ht="15" hidden="false" customHeight="false" outlineLevel="0" collapsed="false">
      <c r="B43" s="37" t="s">
        <v>228</v>
      </c>
    </row>
    <row r="44" customFormat="false" ht="15" hidden="false" customHeight="true" outlineLevel="0" collapsed="false">
      <c r="B44" s="38" t="s">
        <v>229</v>
      </c>
    </row>
    <row r="45" customFormat="false" ht="15" hidden="false" customHeight="false" outlineLevel="0" collapsed="false">
      <c r="B45" s="12" t="s">
        <v>198</v>
      </c>
    </row>
    <row r="46" customFormat="false" ht="15" hidden="false" customHeight="false" outlineLevel="0" collapsed="false">
      <c r="B46" s="39" t="s">
        <v>230</v>
      </c>
    </row>
    <row r="47" customFormat="false" ht="15" hidden="false" customHeight="false" outlineLevel="0" collapsed="false">
      <c r="B47" s="39" t="s">
        <v>231</v>
      </c>
    </row>
    <row r="48" customFormat="false" ht="15" hidden="false" customHeight="false" outlineLevel="0" collapsed="false">
      <c r="B48" s="39"/>
    </row>
    <row r="49" customFormat="false" ht="15" hidden="false" customHeight="false" outlineLevel="0" collapsed="false">
      <c r="B49" s="39" t="s">
        <v>232</v>
      </c>
    </row>
    <row r="50" customFormat="false" ht="15" hidden="false" customHeight="false" outlineLevel="0" collapsed="false">
      <c r="B50" s="39" t="s">
        <v>233</v>
      </c>
    </row>
    <row r="51" customFormat="false" ht="15" hidden="false" customHeight="false" outlineLevel="0" collapsed="false">
      <c r="B51" s="39" t="s">
        <v>234</v>
      </c>
    </row>
    <row r="54" customFormat="false" ht="15" hidden="false" customHeight="false" outlineLevel="0" collapsed="false">
      <c r="B54" s="36" t="s">
        <v>235</v>
      </c>
    </row>
    <row r="55" customFormat="false" ht="15" hidden="false" customHeight="false" outlineLevel="0" collapsed="false">
      <c r="B55" s="37" t="s">
        <v>236</v>
      </c>
    </row>
    <row r="56" customFormat="false" ht="30" hidden="false" customHeight="true" outlineLevel="0" collapsed="false">
      <c r="B56" s="38" t="s">
        <v>237</v>
      </c>
    </row>
    <row r="57" customFormat="false" ht="15" hidden="false" customHeight="false" outlineLevel="0" collapsed="false">
      <c r="B57" s="12" t="s">
        <v>198</v>
      </c>
    </row>
    <row r="58" customFormat="false" ht="15" hidden="false" customHeight="false" outlineLevel="0" collapsed="false">
      <c r="B58" s="39" t="s">
        <v>238</v>
      </c>
    </row>
    <row r="59" customFormat="false" ht="15" hidden="false" customHeight="false" outlineLevel="0" collapsed="false">
      <c r="B59" s="39" t="s">
        <v>239</v>
      </c>
    </row>
    <row r="60" customFormat="false" ht="15" hidden="false" customHeight="false" outlineLevel="0" collapsed="false">
      <c r="B60" s="39" t="s">
        <v>240</v>
      </c>
    </row>
    <row r="61" customFormat="false" ht="15" hidden="false" customHeight="false" outlineLevel="0" collapsed="false">
      <c r="B61" s="39"/>
    </row>
    <row r="62" customFormat="false" ht="15" hidden="false" customHeight="false" outlineLevel="0" collapsed="false">
      <c r="B62" s="39" t="s">
        <v>241</v>
      </c>
    </row>
    <row r="63" customFormat="false" ht="15" hidden="false" customHeight="false" outlineLevel="0" collapsed="false">
      <c r="B63" s="39" t="s">
        <v>242</v>
      </c>
    </row>
    <row r="64" customFormat="false" ht="15" hidden="false" customHeight="false" outlineLevel="0" collapsed="false">
      <c r="B64" s="39" t="s">
        <v>243</v>
      </c>
    </row>
    <row r="65" customFormat="false" ht="15" hidden="false" customHeight="false" outlineLevel="0" collapsed="false">
      <c r="B65" s="39" t="s">
        <v>244</v>
      </c>
    </row>
    <row r="66" customFormat="false" ht="15" hidden="false" customHeight="false" outlineLevel="0" collapsed="false">
      <c r="B66" s="39" t="s">
        <v>245</v>
      </c>
    </row>
    <row r="67" customFormat="false" ht="15" hidden="false" customHeight="false" outlineLevel="0" collapsed="false">
      <c r="B67" s="39" t="s">
        <v>246</v>
      </c>
    </row>
    <row r="68" customFormat="false" ht="15" hidden="false" customHeight="false" outlineLevel="0" collapsed="false">
      <c r="B68" s="39" t="s">
        <v>247</v>
      </c>
    </row>
    <row r="69" customFormat="false" ht="15" hidden="false" customHeight="false" outlineLevel="0" collapsed="false">
      <c r="B69" s="39" t="s">
        <v>248</v>
      </c>
    </row>
    <row r="70" customFormat="false" ht="15" hidden="false" customHeight="false" outlineLevel="0" collapsed="false">
      <c r="B70" s="39" t="s">
        <v>249</v>
      </c>
    </row>
    <row r="71" customFormat="false" ht="15" hidden="false" customHeight="false" outlineLevel="0" collapsed="false">
      <c r="B71" s="39" t="s">
        <v>250</v>
      </c>
    </row>
    <row r="72" customFormat="false" ht="15" hidden="false" customHeight="false" outlineLevel="0" collapsed="false">
      <c r="B72" s="39" t="s">
        <v>251</v>
      </c>
    </row>
    <row r="73" customFormat="false" ht="15" hidden="false" customHeight="false" outlineLevel="0" collapsed="false">
      <c r="B73" s="39" t="s">
        <v>252</v>
      </c>
    </row>
    <row r="74" customFormat="false" ht="15" hidden="false" customHeight="false" outlineLevel="0" collapsed="false">
      <c r="B74" s="39" t="s">
        <v>253</v>
      </c>
    </row>
    <row r="77" customFormat="false" ht="15" hidden="false" customHeight="false" outlineLevel="0" collapsed="false">
      <c r="B77" s="36" t="s">
        <v>254</v>
      </c>
    </row>
    <row r="78" customFormat="false" ht="15" hidden="false" customHeight="false" outlineLevel="0" collapsed="false">
      <c r="B78" s="37" t="s">
        <v>255</v>
      </c>
    </row>
    <row r="79" customFormat="false" ht="30" hidden="false" customHeight="true" outlineLevel="0" collapsed="false">
      <c r="B79" s="38" t="s">
        <v>256</v>
      </c>
    </row>
    <row r="80" customFormat="false" ht="15" hidden="false" customHeight="false" outlineLevel="0" collapsed="false">
      <c r="B80" s="12" t="s">
        <v>198</v>
      </c>
    </row>
    <row r="81" customFormat="false" ht="15" hidden="false" customHeight="false" outlineLevel="0" collapsed="false">
      <c r="B81" s="39" t="s">
        <v>257</v>
      </c>
    </row>
    <row r="82" customFormat="false" ht="15" hidden="false" customHeight="false" outlineLevel="0" collapsed="false">
      <c r="B82" s="39" t="s">
        <v>258</v>
      </c>
    </row>
    <row r="83" customFormat="false" ht="15" hidden="false" customHeight="false" outlineLevel="0" collapsed="false">
      <c r="B83" s="39" t="s">
        <v>259</v>
      </c>
    </row>
    <row r="84" customFormat="false" ht="15" hidden="false" customHeight="false" outlineLevel="0" collapsed="false">
      <c r="B84" s="39" t="s">
        <v>260</v>
      </c>
    </row>
    <row r="85" customFormat="false" ht="15" hidden="false" customHeight="false" outlineLevel="0" collapsed="false">
      <c r="B85" s="39"/>
    </row>
    <row r="86" customFormat="false" ht="15" hidden="false" customHeight="false" outlineLevel="0" collapsed="false">
      <c r="B86" s="39" t="s">
        <v>261</v>
      </c>
    </row>
    <row r="87" customFormat="false" ht="15" hidden="false" customHeight="false" outlineLevel="0" collapsed="false">
      <c r="B87" s="39" t="s">
        <v>262</v>
      </c>
    </row>
    <row r="88" customFormat="false" ht="15" hidden="false" customHeight="false" outlineLevel="0" collapsed="false">
      <c r="B88" s="39" t="s">
        <v>263</v>
      </c>
    </row>
    <row r="89" customFormat="false" ht="15" hidden="false" customHeight="false" outlineLevel="0" collapsed="false">
      <c r="B89" s="39" t="s">
        <v>264</v>
      </c>
    </row>
    <row r="90" customFormat="false" ht="15" hidden="false" customHeight="false" outlineLevel="0" collapsed="false">
      <c r="B90" s="39" t="s">
        <v>265</v>
      </c>
    </row>
    <row r="91" customFormat="false" ht="15" hidden="false" customHeight="false" outlineLevel="0" collapsed="false">
      <c r="B91" s="39" t="s">
        <v>266</v>
      </c>
    </row>
    <row r="92" customFormat="false" ht="15" hidden="false" customHeight="false" outlineLevel="0" collapsed="false">
      <c r="B92" s="39" t="s">
        <v>267</v>
      </c>
    </row>
    <row r="93" customFormat="false" ht="15" hidden="false" customHeight="false" outlineLevel="0" collapsed="false">
      <c r="B93" s="39"/>
    </row>
    <row r="94" customFormat="false" ht="15" hidden="false" customHeight="false" outlineLevel="0" collapsed="false">
      <c r="B94" s="40" t="s">
        <v>268</v>
      </c>
    </row>
    <row r="95" customFormat="false" ht="15" hidden="false" customHeight="false" outlineLevel="0" collapsed="false">
      <c r="B95" s="39" t="s">
        <v>269</v>
      </c>
    </row>
    <row r="96" customFormat="false" ht="15" hidden="false" customHeight="false" outlineLevel="0" collapsed="false">
      <c r="B96" s="39" t="s">
        <v>270</v>
      </c>
    </row>
    <row r="97" customFormat="false" ht="15" hidden="false" customHeight="false" outlineLevel="0" collapsed="false">
      <c r="B97" s="39" t="s">
        <v>271</v>
      </c>
    </row>
    <row r="98" customFormat="false" ht="15" hidden="false" customHeight="false" outlineLevel="0" collapsed="false">
      <c r="B98" s="39" t="s">
        <v>272</v>
      </c>
    </row>
    <row r="99" customFormat="false" ht="15" hidden="false" customHeight="false" outlineLevel="0" collapsed="false">
      <c r="B99" s="39" t="s">
        <v>273</v>
      </c>
    </row>
    <row r="100" customFormat="false" ht="15" hidden="false" customHeight="false" outlineLevel="0" collapsed="false">
      <c r="B100" s="39" t="s">
        <v>274</v>
      </c>
    </row>
    <row r="101" customFormat="false" ht="15" hidden="false" customHeight="false" outlineLevel="0" collapsed="false">
      <c r="B101" s="39" t="s">
        <v>275</v>
      </c>
    </row>
    <row r="102" customFormat="false" ht="15" hidden="false" customHeight="false" outlineLevel="0" collapsed="false">
      <c r="B102" s="39"/>
    </row>
    <row r="103" customFormat="false" ht="15" hidden="false" customHeight="false" outlineLevel="0" collapsed="false">
      <c r="B103" s="40" t="s">
        <v>276</v>
      </c>
    </row>
    <row r="104" customFormat="false" ht="15" hidden="false" customHeight="false" outlineLevel="0" collapsed="false">
      <c r="B104" s="39" t="s">
        <v>277</v>
      </c>
    </row>
    <row r="105" customFormat="false" ht="15" hidden="false" customHeight="false" outlineLevel="0" collapsed="false">
      <c r="B105" s="39" t="s">
        <v>278</v>
      </c>
    </row>
    <row r="106" customFormat="false" ht="15" hidden="false" customHeight="false" outlineLevel="0" collapsed="false">
      <c r="B106" s="39" t="s">
        <v>279</v>
      </c>
    </row>
    <row r="107" customFormat="false" ht="15" hidden="false" customHeight="false" outlineLevel="0" collapsed="false">
      <c r="B107" s="39" t="s">
        <v>280</v>
      </c>
    </row>
    <row r="108" customFormat="false" ht="15" hidden="false" customHeight="false" outlineLevel="0" collapsed="false">
      <c r="B108" s="39" t="s">
        <v>281</v>
      </c>
    </row>
    <row r="109" customFormat="false" ht="15" hidden="false" customHeight="false" outlineLevel="0" collapsed="false">
      <c r="B109" s="39" t="s">
        <v>282</v>
      </c>
    </row>
    <row r="110" customFormat="false" ht="15" hidden="false" customHeight="false" outlineLevel="0" collapsed="false">
      <c r="B110" s="39"/>
    </row>
    <row r="111" customFormat="false" ht="15" hidden="false" customHeight="false" outlineLevel="0" collapsed="false">
      <c r="B111" s="39" t="s">
        <v>283</v>
      </c>
    </row>
    <row r="112" customFormat="false" ht="15" hidden="false" customHeight="false" outlineLevel="0" collapsed="false">
      <c r="B112" s="39" t="s">
        <v>284</v>
      </c>
    </row>
    <row r="113" customFormat="false" ht="15" hidden="false" customHeight="false" outlineLevel="0" collapsed="false">
      <c r="B113" s="39" t="s">
        <v>285</v>
      </c>
    </row>
    <row r="114" customFormat="false" ht="15" hidden="false" customHeight="false" outlineLevel="0" collapsed="false">
      <c r="B114" s="39" t="s">
        <v>286</v>
      </c>
    </row>
    <row r="115" customFormat="false" ht="15" hidden="false" customHeight="false" outlineLevel="0" collapsed="false">
      <c r="B115" s="39" t="s">
        <v>287</v>
      </c>
    </row>
    <row r="116" customFormat="false" ht="15" hidden="false" customHeight="false" outlineLevel="0" collapsed="false">
      <c r="B116" s="39" t="s">
        <v>288</v>
      </c>
    </row>
    <row r="117" customFormat="false" ht="15" hidden="false" customHeight="false" outlineLevel="0" collapsed="false">
      <c r="B117" s="39" t="s">
        <v>289</v>
      </c>
    </row>
    <row r="120" customFormat="false" ht="15" hidden="false" customHeight="false" outlineLevel="0" collapsed="false">
      <c r="B120" s="36" t="s">
        <v>290</v>
      </c>
    </row>
    <row r="121" customFormat="false" ht="15" hidden="false" customHeight="false" outlineLevel="0" collapsed="false">
      <c r="B121" s="37" t="s">
        <v>291</v>
      </c>
    </row>
    <row r="122" customFormat="false" ht="30" hidden="false" customHeight="true" outlineLevel="0" collapsed="false">
      <c r="B122" s="38" t="s">
        <v>292</v>
      </c>
    </row>
    <row r="123" customFormat="false" ht="15" hidden="false" customHeight="false" outlineLevel="0" collapsed="false">
      <c r="B123" s="12" t="s">
        <v>198</v>
      </c>
    </row>
    <row r="124" customFormat="false" ht="15" hidden="false" customHeight="false" outlineLevel="0" collapsed="false">
      <c r="B124" s="39" t="s">
        <v>293</v>
      </c>
    </row>
    <row r="125" customFormat="false" ht="15" hidden="false" customHeight="false" outlineLevel="0" collapsed="false">
      <c r="B125" s="39" t="s">
        <v>294</v>
      </c>
    </row>
    <row r="126" customFormat="false" ht="15" hidden="false" customHeight="false" outlineLevel="0" collapsed="false">
      <c r="B126" s="39" t="s">
        <v>295</v>
      </c>
    </row>
    <row r="127" customFormat="false" ht="15" hidden="false" customHeight="false" outlineLevel="0" collapsed="false">
      <c r="B127" s="39" t="s">
        <v>296</v>
      </c>
    </row>
    <row r="128" customFormat="false" ht="15" hidden="false" customHeight="false" outlineLevel="0" collapsed="false">
      <c r="B128" s="39" t="s">
        <v>297</v>
      </c>
    </row>
    <row r="129" customFormat="false" ht="15" hidden="false" customHeight="false" outlineLevel="0" collapsed="false">
      <c r="B129" s="39" t="s">
        <v>298</v>
      </c>
    </row>
    <row r="130" customFormat="false" ht="15" hidden="false" customHeight="false" outlineLevel="0" collapsed="false">
      <c r="B130" s="39" t="s">
        <v>299</v>
      </c>
    </row>
    <row r="131" customFormat="false" ht="15" hidden="false" customHeight="false" outlineLevel="0" collapsed="false">
      <c r="B131" s="39" t="s">
        <v>300</v>
      </c>
    </row>
    <row r="132" customFormat="false" ht="15" hidden="false" customHeight="false" outlineLevel="0" collapsed="false">
      <c r="B132" s="39" t="s">
        <v>301</v>
      </c>
    </row>
    <row r="133" customFormat="false" ht="15" hidden="false" customHeight="false" outlineLevel="0" collapsed="false">
      <c r="B133" s="39" t="s">
        <v>302</v>
      </c>
    </row>
    <row r="134" customFormat="false" ht="15" hidden="false" customHeight="false" outlineLevel="0" collapsed="false">
      <c r="B134" s="39" t="s">
        <v>303</v>
      </c>
    </row>
    <row r="135" customFormat="false" ht="15" hidden="false" customHeight="false" outlineLevel="0" collapsed="false">
      <c r="B135" s="39" t="s">
        <v>304</v>
      </c>
    </row>
    <row r="136" customFormat="false" ht="15" hidden="false" customHeight="false" outlineLevel="0" collapsed="false">
      <c r="B136" s="39" t="s">
        <v>305</v>
      </c>
    </row>
    <row r="137" customFormat="false" ht="15" hidden="false" customHeight="false" outlineLevel="0" collapsed="false">
      <c r="B137" s="39" t="s">
        <v>306</v>
      </c>
    </row>
    <row r="138" customFormat="false" ht="15" hidden="false" customHeight="false" outlineLevel="0" collapsed="false">
      <c r="B138" s="39" t="s">
        <v>307</v>
      </c>
    </row>
    <row r="139" customFormat="false" ht="15" hidden="false" customHeight="false" outlineLevel="0" collapsed="false">
      <c r="B139" s="39" t="s">
        <v>308</v>
      </c>
    </row>
    <row r="142" customFormat="false" ht="15" hidden="false" customHeight="false" outlineLevel="0" collapsed="false">
      <c r="B142" s="36" t="s">
        <v>309</v>
      </c>
    </row>
    <row r="143" customFormat="false" ht="15" hidden="false" customHeight="false" outlineLevel="0" collapsed="false">
      <c r="B143" s="37" t="s">
        <v>310</v>
      </c>
    </row>
    <row r="144" customFormat="false" ht="15" hidden="false" customHeight="true" outlineLevel="0" collapsed="false">
      <c r="B144" s="38" t="s">
        <v>311</v>
      </c>
    </row>
    <row r="145" customFormat="false" ht="15" hidden="false" customHeight="false" outlineLevel="0" collapsed="false">
      <c r="B145" s="12" t="s">
        <v>198</v>
      </c>
    </row>
    <row r="146" customFormat="false" ht="15" hidden="false" customHeight="false" outlineLevel="0" collapsed="false">
      <c r="B146" s="39" t="s">
        <v>294</v>
      </c>
    </row>
    <row r="147" customFormat="false" ht="15" hidden="false" customHeight="false" outlineLevel="0" collapsed="false">
      <c r="B147" s="39" t="s">
        <v>298</v>
      </c>
    </row>
    <row r="148" customFormat="false" ht="15" hidden="false" customHeight="false" outlineLevel="0" collapsed="false">
      <c r="B148" s="39" t="s">
        <v>312</v>
      </c>
    </row>
    <row r="149" customFormat="false" ht="15" hidden="false" customHeight="false" outlineLevel="0" collapsed="false">
      <c r="B149" s="39" t="s">
        <v>313</v>
      </c>
    </row>
    <row r="150" customFormat="false" ht="15" hidden="false" customHeight="false" outlineLevel="0" collapsed="false">
      <c r="B150" s="39" t="s">
        <v>296</v>
      </c>
    </row>
    <row r="151" customFormat="false" ht="15" hidden="false" customHeight="false" outlineLevel="0" collapsed="false">
      <c r="B151" s="39" t="s">
        <v>314</v>
      </c>
    </row>
    <row r="152" customFormat="false" ht="15" hidden="false" customHeight="false" outlineLevel="0" collapsed="false">
      <c r="B152" s="39" t="s">
        <v>315</v>
      </c>
    </row>
    <row r="153" customFormat="false" ht="15" hidden="false" customHeight="false" outlineLevel="0" collapsed="false">
      <c r="B153" s="39" t="s">
        <v>305</v>
      </c>
    </row>
    <row r="154" customFormat="false" ht="15" hidden="false" customHeight="false" outlineLevel="0" collapsed="false">
      <c r="B154" s="39" t="s">
        <v>316</v>
      </c>
    </row>
    <row r="155" customFormat="false" ht="15" hidden="false" customHeight="false" outlineLevel="0" collapsed="false">
      <c r="B155" s="39" t="s">
        <v>307</v>
      </c>
    </row>
    <row r="156" customFormat="false" ht="15" hidden="false" customHeight="false" outlineLevel="0" collapsed="false">
      <c r="B156" s="39" t="s">
        <v>308</v>
      </c>
    </row>
    <row r="159" customFormat="false" ht="15" hidden="false" customHeight="false" outlineLevel="0" collapsed="false">
      <c r="B159" s="36" t="s">
        <v>317</v>
      </c>
    </row>
    <row r="160" customFormat="false" ht="15" hidden="false" customHeight="false" outlineLevel="0" collapsed="false">
      <c r="B160" s="37" t="s">
        <v>318</v>
      </c>
    </row>
    <row r="161" customFormat="false" ht="30" hidden="false" customHeight="true" outlineLevel="0" collapsed="false">
      <c r="B161" s="38" t="s">
        <v>319</v>
      </c>
    </row>
    <row r="162" customFormat="false" ht="15" hidden="false" customHeight="false" outlineLevel="0" collapsed="false">
      <c r="B162" s="12" t="s">
        <v>198</v>
      </c>
    </row>
    <row r="163" customFormat="false" ht="15" hidden="false" customHeight="false" outlineLevel="0" collapsed="false">
      <c r="B163" s="39" t="s">
        <v>320</v>
      </c>
    </row>
    <row r="164" customFormat="false" ht="15" hidden="false" customHeight="false" outlineLevel="0" collapsed="false">
      <c r="B164" s="39" t="s">
        <v>321</v>
      </c>
    </row>
    <row r="165" customFormat="false" ht="15" hidden="false" customHeight="false" outlineLevel="0" collapsed="false">
      <c r="B165" s="39" t="s">
        <v>322</v>
      </c>
    </row>
    <row r="166" customFormat="false" ht="15" hidden="false" customHeight="false" outlineLevel="0" collapsed="false">
      <c r="B166" s="39"/>
    </row>
    <row r="167" customFormat="false" ht="15" hidden="false" customHeight="false" outlineLevel="0" collapsed="false">
      <c r="B167" s="39" t="s">
        <v>323</v>
      </c>
    </row>
    <row r="168" customFormat="false" ht="15" hidden="false" customHeight="false" outlineLevel="0" collapsed="false">
      <c r="B168" s="39" t="s">
        <v>324</v>
      </c>
    </row>
    <row r="169" customFormat="false" ht="15" hidden="false" customHeight="false" outlineLevel="0" collapsed="false">
      <c r="B169" s="39" t="s">
        <v>325</v>
      </c>
    </row>
    <row r="170" customFormat="false" ht="15" hidden="false" customHeight="false" outlineLevel="0" collapsed="false">
      <c r="B170" s="39" t="s">
        <v>326</v>
      </c>
    </row>
    <row r="171" customFormat="false" ht="15" hidden="false" customHeight="false" outlineLevel="0" collapsed="false">
      <c r="B171" s="39" t="s">
        <v>327</v>
      </c>
    </row>
    <row r="172" customFormat="false" ht="15" hidden="false" customHeight="false" outlineLevel="0" collapsed="false">
      <c r="B172" s="39" t="s">
        <v>328</v>
      </c>
    </row>
    <row r="173" customFormat="false" ht="15" hidden="false" customHeight="false" outlineLevel="0" collapsed="false">
      <c r="B173" s="39" t="s">
        <v>329</v>
      </c>
    </row>
    <row r="174" customFormat="false" ht="15" hidden="false" customHeight="false" outlineLevel="0" collapsed="false">
      <c r="B174" s="39" t="s">
        <v>330</v>
      </c>
    </row>
    <row r="175" customFormat="false" ht="15" hidden="false" customHeight="false" outlineLevel="0" collapsed="false">
      <c r="B175" s="39" t="s">
        <v>331</v>
      </c>
    </row>
    <row r="176" customFormat="false" ht="15" hidden="false" customHeight="false" outlineLevel="0" collapsed="false">
      <c r="B176" s="39" t="s">
        <v>332</v>
      </c>
    </row>
    <row r="177" customFormat="false" ht="15" hidden="false" customHeight="false" outlineLevel="0" collapsed="false">
      <c r="B177" s="39" t="s">
        <v>333</v>
      </c>
    </row>
    <row r="178" customFormat="false" ht="15" hidden="false" customHeight="false" outlineLevel="0" collapsed="false">
      <c r="B178" s="39" t="s">
        <v>308</v>
      </c>
    </row>
    <row r="181" customFormat="false" ht="15" hidden="false" customHeight="false" outlineLevel="0" collapsed="false">
      <c r="B181" s="36" t="s">
        <v>334</v>
      </c>
    </row>
    <row r="182" customFormat="false" ht="15" hidden="false" customHeight="false" outlineLevel="0" collapsed="false">
      <c r="B182" s="37" t="s">
        <v>335</v>
      </c>
    </row>
    <row r="183" customFormat="false" ht="15" hidden="false" customHeight="true" outlineLevel="0" collapsed="false">
      <c r="B183" s="38" t="s">
        <v>336</v>
      </c>
    </row>
    <row r="184" customFormat="false" ht="15" hidden="false" customHeight="false" outlineLevel="0" collapsed="false">
      <c r="B184" s="12" t="s">
        <v>198</v>
      </c>
    </row>
    <row r="185" customFormat="false" ht="15" hidden="false" customHeight="false" outlineLevel="0" collapsed="false">
      <c r="B185" s="39" t="s">
        <v>337</v>
      </c>
    </row>
    <row r="186" customFormat="false" ht="15" hidden="false" customHeight="false" outlineLevel="0" collapsed="false">
      <c r="B186" s="39" t="s">
        <v>338</v>
      </c>
    </row>
    <row r="187" customFormat="false" ht="15" hidden="false" customHeight="false" outlineLevel="0" collapsed="false">
      <c r="B187" s="39" t="s">
        <v>339</v>
      </c>
    </row>
    <row r="188" customFormat="false" ht="15" hidden="false" customHeight="false" outlineLevel="0" collapsed="false">
      <c r="B188" s="39"/>
    </row>
    <row r="189" customFormat="false" ht="15" hidden="false" customHeight="false" outlineLevel="0" collapsed="false">
      <c r="B189" s="39" t="s">
        <v>340</v>
      </c>
    </row>
    <row r="190" customFormat="false" ht="15" hidden="false" customHeight="false" outlineLevel="0" collapsed="false">
      <c r="B190" s="39" t="s">
        <v>341</v>
      </c>
    </row>
    <row r="191" customFormat="false" ht="15" hidden="false" customHeight="false" outlineLevel="0" collapsed="false">
      <c r="B191" s="39" t="s">
        <v>342</v>
      </c>
    </row>
    <row r="192" customFormat="false" ht="15" hidden="false" customHeight="false" outlineLevel="0" collapsed="false">
      <c r="B192" s="39" t="s">
        <v>343</v>
      </c>
    </row>
    <row r="193" customFormat="false" ht="15" hidden="false" customHeight="false" outlineLevel="0" collapsed="false">
      <c r="B193" s="39" t="s">
        <v>344</v>
      </c>
    </row>
    <row r="194" customFormat="false" ht="15" hidden="false" customHeight="false" outlineLevel="0" collapsed="false">
      <c r="B194" s="39" t="s">
        <v>345</v>
      </c>
    </row>
    <row r="195" customFormat="false" ht="15" hidden="false" customHeight="false" outlineLevel="0" collapsed="false">
      <c r="B195" s="39"/>
    </row>
    <row r="196" customFormat="false" ht="15" hidden="false" customHeight="false" outlineLevel="0" collapsed="false">
      <c r="B196" s="39" t="s">
        <v>346</v>
      </c>
    </row>
    <row r="197" customFormat="false" ht="15" hidden="false" customHeight="false" outlineLevel="0" collapsed="false">
      <c r="B197" s="39" t="s">
        <v>347</v>
      </c>
    </row>
    <row r="198" customFormat="false" ht="15" hidden="false" customHeight="false" outlineLevel="0" collapsed="false">
      <c r="B198" s="39" t="s">
        <v>348</v>
      </c>
    </row>
    <row r="199" customFormat="false" ht="15" hidden="false" customHeight="false" outlineLevel="0" collapsed="false">
      <c r="B199" s="39" t="s">
        <v>349</v>
      </c>
    </row>
    <row r="200" customFormat="false" ht="15" hidden="false" customHeight="false" outlineLevel="0" collapsed="false">
      <c r="B200" s="39" t="s">
        <v>350</v>
      </c>
    </row>
    <row r="201" customFormat="false" ht="15" hidden="false" customHeight="false" outlineLevel="0" collapsed="false">
      <c r="B201" s="39" t="s">
        <v>351</v>
      </c>
    </row>
    <row r="202" customFormat="false" ht="15" hidden="false" customHeight="false" outlineLevel="0" collapsed="false">
      <c r="B202" s="39" t="s">
        <v>352</v>
      </c>
    </row>
    <row r="203" customFormat="false" ht="15" hidden="false" customHeight="false" outlineLevel="0" collapsed="false">
      <c r="B203" s="39" t="s">
        <v>353</v>
      </c>
    </row>
    <row r="204" customFormat="false" ht="15" hidden="false" customHeight="false" outlineLevel="0" collapsed="false">
      <c r="B204" s="39" t="s">
        <v>308</v>
      </c>
    </row>
    <row r="207" customFormat="false" ht="15" hidden="false" customHeight="false" outlineLevel="0" collapsed="false">
      <c r="B207" s="36" t="s">
        <v>354</v>
      </c>
    </row>
    <row r="208" customFormat="false" ht="15" hidden="false" customHeight="false" outlineLevel="0" collapsed="false">
      <c r="B208" s="37" t="s">
        <v>355</v>
      </c>
    </row>
    <row r="209" customFormat="false" ht="30" hidden="false" customHeight="true" outlineLevel="0" collapsed="false">
      <c r="B209" s="38" t="s">
        <v>356</v>
      </c>
    </row>
    <row r="210" customFormat="false" ht="15" hidden="false" customHeight="false" outlineLevel="0" collapsed="false">
      <c r="B210" s="12" t="s">
        <v>198</v>
      </c>
    </row>
    <row r="211" customFormat="false" ht="15" hidden="false" customHeight="false" outlineLevel="0" collapsed="false">
      <c r="B211" s="39" t="s">
        <v>357</v>
      </c>
    </row>
    <row r="212" customFormat="false" ht="15" hidden="false" customHeight="false" outlineLevel="0" collapsed="false">
      <c r="B212" s="39" t="s">
        <v>358</v>
      </c>
    </row>
    <row r="213" customFormat="false" ht="15" hidden="false" customHeight="false" outlineLevel="0" collapsed="false">
      <c r="B213" s="39"/>
    </row>
    <row r="214" customFormat="false" ht="15" hidden="false" customHeight="false" outlineLevel="0" collapsed="false">
      <c r="B214" s="39" t="s">
        <v>359</v>
      </c>
    </row>
    <row r="215" customFormat="false" ht="15" hidden="false" customHeight="false" outlineLevel="0" collapsed="false">
      <c r="B215" s="39" t="s">
        <v>360</v>
      </c>
    </row>
    <row r="216" customFormat="false" ht="15" hidden="false" customHeight="false" outlineLevel="0" collapsed="false">
      <c r="B216" s="39" t="s">
        <v>361</v>
      </c>
    </row>
    <row r="217" customFormat="false" ht="15" hidden="false" customHeight="false" outlineLevel="0" collapsed="false">
      <c r="B217" s="39" t="s">
        <v>362</v>
      </c>
    </row>
    <row r="218" customFormat="false" ht="15" hidden="false" customHeight="false" outlineLevel="0" collapsed="false">
      <c r="B218" s="39" t="s">
        <v>363</v>
      </c>
    </row>
    <row r="219" customFormat="false" ht="15" hidden="false" customHeight="false" outlineLevel="0" collapsed="false">
      <c r="B219" s="39"/>
    </row>
    <row r="220" customFormat="false" ht="15" hidden="false" customHeight="false" outlineLevel="0" collapsed="false">
      <c r="B220" s="39" t="s">
        <v>364</v>
      </c>
    </row>
    <row r="221" customFormat="false" ht="15" hidden="false" customHeight="false" outlineLevel="0" collapsed="false">
      <c r="B221" s="39" t="s">
        <v>365</v>
      </c>
    </row>
    <row r="222" customFormat="false" ht="15" hidden="false" customHeight="false" outlineLevel="0" collapsed="false">
      <c r="B222" s="39" t="s">
        <v>366</v>
      </c>
    </row>
    <row r="223" customFormat="false" ht="15" hidden="false" customHeight="false" outlineLevel="0" collapsed="false">
      <c r="B223" s="39" t="s">
        <v>367</v>
      </c>
    </row>
    <row r="224" customFormat="false" ht="15" hidden="false" customHeight="false" outlineLevel="0" collapsed="false">
      <c r="B224" s="39" t="s">
        <v>368</v>
      </c>
    </row>
    <row r="225" customFormat="false" ht="15" hidden="false" customHeight="false" outlineLevel="0" collapsed="false">
      <c r="B225" s="39" t="s">
        <v>369</v>
      </c>
    </row>
    <row r="226" customFormat="false" ht="15" hidden="false" customHeight="false" outlineLevel="0" collapsed="false">
      <c r="B226" s="39" t="s">
        <v>370</v>
      </c>
    </row>
    <row r="227" customFormat="false" ht="15" hidden="false" customHeight="false" outlineLevel="0" collapsed="false">
      <c r="B227" s="39" t="s">
        <v>371</v>
      </c>
    </row>
    <row r="228" customFormat="false" ht="15" hidden="false" customHeight="false" outlineLevel="0" collapsed="false">
      <c r="B228" s="39" t="s">
        <v>296</v>
      </c>
    </row>
    <row r="229" customFormat="false" ht="15" hidden="false" customHeight="false" outlineLevel="0" collapsed="false">
      <c r="B229" s="39" t="s">
        <v>372</v>
      </c>
    </row>
    <row r="230" customFormat="false" ht="15" hidden="false" customHeight="false" outlineLevel="0" collapsed="false">
      <c r="B230" s="39" t="s">
        <v>373</v>
      </c>
    </row>
    <row r="231" customFormat="false" ht="15" hidden="false" customHeight="false" outlineLevel="0" collapsed="false">
      <c r="B231" s="39" t="s">
        <v>304</v>
      </c>
    </row>
    <row r="232" customFormat="false" ht="15" hidden="false" customHeight="false" outlineLevel="0" collapsed="false">
      <c r="B232" s="39" t="s">
        <v>374</v>
      </c>
    </row>
    <row r="233" customFormat="false" ht="15" hidden="false" customHeight="false" outlineLevel="0" collapsed="false">
      <c r="B233" s="39" t="s">
        <v>305</v>
      </c>
    </row>
    <row r="234" customFormat="false" ht="15" hidden="false" customHeight="false" outlineLevel="0" collapsed="false">
      <c r="B234" s="39" t="s">
        <v>375</v>
      </c>
    </row>
    <row r="235" customFormat="false" ht="15" hidden="false" customHeight="false" outlineLevel="0" collapsed="false">
      <c r="B235" s="39" t="s">
        <v>376</v>
      </c>
    </row>
    <row r="236" customFormat="false" ht="15" hidden="false" customHeight="false" outlineLevel="0" collapsed="false">
      <c r="B236" s="39" t="s">
        <v>377</v>
      </c>
    </row>
    <row r="237" customFormat="false" ht="15" hidden="false" customHeight="false" outlineLevel="0" collapsed="false">
      <c r="B237" s="39" t="s">
        <v>308</v>
      </c>
    </row>
    <row r="240" customFormat="false" ht="15" hidden="false" customHeight="false" outlineLevel="0" collapsed="false">
      <c r="B240" s="36" t="s">
        <v>378</v>
      </c>
    </row>
    <row r="241" customFormat="false" ht="15" hidden="false" customHeight="false" outlineLevel="0" collapsed="false">
      <c r="B241" s="37" t="s">
        <v>379</v>
      </c>
    </row>
    <row r="242" customFormat="false" ht="30" hidden="false" customHeight="true" outlineLevel="0" collapsed="false">
      <c r="B242" s="38" t="s">
        <v>380</v>
      </c>
    </row>
    <row r="243" customFormat="false" ht="15" hidden="false" customHeight="false" outlineLevel="0" collapsed="false">
      <c r="B243" s="12" t="s">
        <v>198</v>
      </c>
    </row>
    <row r="244" customFormat="false" ht="15" hidden="false" customHeight="false" outlineLevel="0" collapsed="false">
      <c r="B244" s="39" t="s">
        <v>381</v>
      </c>
    </row>
    <row r="245" customFormat="false" ht="15" hidden="false" customHeight="false" outlineLevel="0" collapsed="false">
      <c r="B245" s="39" t="s">
        <v>382</v>
      </c>
    </row>
    <row r="246" customFormat="false" ht="15" hidden="false" customHeight="false" outlineLevel="0" collapsed="false">
      <c r="B246" s="39" t="s">
        <v>383</v>
      </c>
    </row>
    <row r="247" customFormat="false" ht="15" hidden="false" customHeight="false" outlineLevel="0" collapsed="false">
      <c r="B247" s="39" t="s">
        <v>384</v>
      </c>
    </row>
    <row r="248" customFormat="false" ht="15" hidden="false" customHeight="false" outlineLevel="0" collapsed="false">
      <c r="B248" s="39" t="s">
        <v>385</v>
      </c>
    </row>
    <row r="249" customFormat="false" ht="15" hidden="false" customHeight="false" outlineLevel="0" collapsed="false">
      <c r="B249" s="39" t="s">
        <v>386</v>
      </c>
    </row>
    <row r="250" customFormat="false" ht="15" hidden="false" customHeight="false" outlineLevel="0" collapsed="false">
      <c r="B250" s="39"/>
    </row>
    <row r="251" customFormat="false" ht="15" hidden="false" customHeight="false" outlineLevel="0" collapsed="false">
      <c r="B251" s="39" t="s">
        <v>323</v>
      </c>
    </row>
    <row r="252" customFormat="false" ht="15" hidden="false" customHeight="false" outlineLevel="0" collapsed="false">
      <c r="B252" s="39" t="s">
        <v>298</v>
      </c>
    </row>
    <row r="253" customFormat="false" ht="15" hidden="false" customHeight="false" outlineLevel="0" collapsed="false">
      <c r="B253" s="39" t="s">
        <v>387</v>
      </c>
    </row>
    <row r="254" customFormat="false" ht="15" hidden="false" customHeight="false" outlineLevel="0" collapsed="false">
      <c r="B254" s="39" t="s">
        <v>388</v>
      </c>
    </row>
    <row r="255" customFormat="false" ht="15" hidden="false" customHeight="false" outlineLevel="0" collapsed="false">
      <c r="B255" s="39" t="s">
        <v>389</v>
      </c>
    </row>
    <row r="256" customFormat="false" ht="15" hidden="false" customHeight="false" outlineLevel="0" collapsed="false">
      <c r="B256" s="39" t="s">
        <v>390</v>
      </c>
    </row>
    <row r="257" customFormat="false" ht="15" hidden="false" customHeight="false" outlineLevel="0" collapsed="false">
      <c r="B257" s="39" t="s">
        <v>391</v>
      </c>
    </row>
    <row r="258" customFormat="false" ht="15" hidden="false" customHeight="false" outlineLevel="0" collapsed="false">
      <c r="B258" s="39" t="s">
        <v>392</v>
      </c>
    </row>
    <row r="259" customFormat="false" ht="15" hidden="false" customHeight="false" outlineLevel="0" collapsed="false">
      <c r="B259" s="39" t="s">
        <v>393</v>
      </c>
    </row>
    <row r="260" customFormat="false" ht="15" hidden="false" customHeight="false" outlineLevel="0" collapsed="false">
      <c r="B260" s="39" t="s">
        <v>394</v>
      </c>
    </row>
    <row r="261" customFormat="false" ht="15" hidden="false" customHeight="false" outlineLevel="0" collapsed="false">
      <c r="B261" s="39" t="s">
        <v>395</v>
      </c>
    </row>
    <row r="262" customFormat="false" ht="15" hidden="false" customHeight="false" outlineLevel="0" collapsed="false">
      <c r="B262" s="39" t="s">
        <v>307</v>
      </c>
    </row>
    <row r="263" customFormat="false" ht="15" hidden="false" customHeight="false" outlineLevel="0" collapsed="false">
      <c r="B263" s="39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9" min="3" style="0" width="14"/>
  </cols>
  <sheetData>
    <row r="1" customFormat="false" ht="19.7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15" hidden="false" customHeight="false" outlineLevel="0" collapsed="false">
      <c r="A4" s="41" t="s">
        <v>398</v>
      </c>
      <c r="B4" s="42"/>
    </row>
    <row r="8" customFormat="false" ht="15" hidden="false" customHeight="false" outlineLevel="0" collapsed="false">
      <c r="A8" s="41" t="s">
        <v>399</v>
      </c>
      <c r="B8" s="42"/>
    </row>
    <row r="15" customFormat="false" ht="15" hidden="false" customHeight="false" outlineLevel="0" collapsed="false">
      <c r="A15" s="41" t="s">
        <v>400</v>
      </c>
      <c r="B15" s="42"/>
    </row>
    <row r="22" customFormat="false" ht="15" hidden="false" customHeight="false" outlineLevel="0" collapsed="false">
      <c r="A22" s="41" t="s">
        <v>401</v>
      </c>
      <c r="B22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360" hidden="false" customHeight="true" outlineLevel="0" collapsed="false">
      <c r="A4" s="41" t="s">
        <v>404</v>
      </c>
      <c r="B4" s="43"/>
    </row>
    <row r="5" customFormat="false" ht="12" hidden="false" customHeight="true" outlineLevel="0" collapsed="false"/>
    <row r="6" customFormat="false" ht="360" hidden="false" customHeight="true" outlineLevel="0" collapsed="false">
      <c r="A6" s="41" t="s">
        <v>405</v>
      </c>
      <c r="B6" s="43"/>
    </row>
    <row r="7" customFormat="false" ht="12" hidden="false" customHeight="true" outlineLevel="0" collapsed="false"/>
    <row r="8" customFormat="false" ht="360" hidden="false" customHeight="true" outlineLevel="0" collapsed="false">
      <c r="A8" s="41" t="s">
        <v>406</v>
      </c>
      <c r="B8" s="43"/>
    </row>
    <row r="9" customFormat="false" ht="12" hidden="false" customHeight="true" outlineLevel="0" collapsed="false"/>
    <row r="10" customFormat="false" ht="360" hidden="false" customHeight="true" outlineLevel="0" collapsed="false">
      <c r="A10" s="41" t="s">
        <v>407</v>
      </c>
      <c r="B10" s="43"/>
    </row>
    <row r="11" customFormat="false" ht="12" hidden="false" customHeight="true" outlineLevel="0" collapsed="false"/>
    <row r="12" customFormat="false" ht="360" hidden="false" customHeight="true" outlineLevel="0" collapsed="false">
      <c r="A12" s="41" t="s">
        <v>408</v>
      </c>
      <c r="B12" s="43"/>
    </row>
    <row r="13" customFormat="false" ht="12" hidden="false" customHeight="true" outlineLevel="0" collapsed="false"/>
    <row r="14" customFormat="false" ht="360" hidden="false" customHeight="true" outlineLevel="0" collapsed="false">
      <c r="A14" s="41" t="s">
        <v>409</v>
      </c>
      <c r="B14" s="43"/>
    </row>
    <row r="15" customFormat="false" ht="12" hidden="false" customHeight="true" outlineLevel="0" collapsed="false"/>
    <row r="17" customFormat="false" ht="15" hidden="false" customHeight="false" outlineLevel="0" collapsed="false">
      <c r="A17" s="12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2026-09-25T23:11:43Z</dcterms:created>
  <dc:creator>openpyxl</dc:creator>
  <dc:description/>
  <dc:language>en-US</dc:language>
  <cp:lastModifiedBy/>
  <dcterms:modified xsi:type="dcterms:W3CDTF">2026-09-25T19:11:46Z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